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4.xml" ContentType="application/vnd.openxmlformats-officedocument.spreadsheetml.pivotTable+xml"/>
  <Override PartName="/xl/pivotTables/pivotTable2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hidePivotFieldList="1" defaultThemeVersion="202300"/>
  <mc:AlternateContent xmlns:mc="http://schemas.openxmlformats.org/markup-compatibility/2006">
    <mc:Choice Requires="x15">
      <x15ac:absPath xmlns:x15ac="http://schemas.microsoft.com/office/spreadsheetml/2010/11/ac" url="/Users/user/Documents/Honours/Dataset/"/>
    </mc:Choice>
  </mc:AlternateContent>
  <xr:revisionPtr revIDLastSave="0" documentId="8_{48918BEC-463C-3744-AF03-C56AA706F934}" xr6:coauthVersionLast="47" xr6:coauthVersionMax="47" xr10:uidLastSave="{00000000-0000-0000-0000-000000000000}"/>
  <bookViews>
    <workbookView xWindow="0" yWindow="500" windowWidth="44800" windowHeight="23000" xr2:uid="{1D74D2EC-D460-0E4F-B015-3F28AF0D107A}"/>
  </bookViews>
  <sheets>
    <sheet name="Dataset Schema" sheetId="2" r:id="rId1"/>
    <sheet name="Definitions" sheetId="56" r:id="rId2"/>
    <sheet name="Dataset" sheetId="1" r:id="rId3"/>
    <sheet name="period" sheetId="71" r:id="rId4"/>
    <sheet name="historical_theme data" sheetId="70" r:id="rId5"/>
    <sheet name="place_category data" sheetId="28" r:id="rId6"/>
    <sheet name="place_type data" sheetId="59" r:id="rId7"/>
    <sheet name="place_type by place_category" sheetId="60" r:id="rId8"/>
    <sheet name="place_name count" sheetId="6" r:id="rId9"/>
    <sheet name="place_name by coorindates_prec" sheetId="24" r:id="rId10"/>
    <sheet name="place_name by place_category" sheetId="53" r:id="rId11"/>
    <sheet name="place_name by historical_theme" sheetId="72" r:id="rId12"/>
    <sheet name="APB Annual Reports" sheetId="66" r:id="rId13"/>
  </sheets>
  <definedNames>
    <definedName name="_xlnm._FilterDatabase" localSheetId="2" hidden="1">Dataset!$A$1:$V$190</definedName>
  </definedNames>
  <calcPr calcId="191029"/>
  <pivotCaches>
    <pivotCache cacheId="1"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 i="28" l="1"/>
  <c r="S9" i="59"/>
  <c r="V29" i="60"/>
  <c r="AA27" i="60"/>
  <c r="AA26" i="60"/>
  <c r="AA25" i="60"/>
  <c r="AA23" i="60"/>
  <c r="AA19" i="60"/>
  <c r="AA17" i="60"/>
  <c r="AA16" i="60"/>
  <c r="AA15" i="60"/>
  <c r="AA10" i="60"/>
  <c r="AA14" i="60"/>
  <c r="AA13" i="60"/>
  <c r="AA12" i="60"/>
  <c r="AA6" i="60"/>
  <c r="AA7" i="60"/>
  <c r="AA8" i="60"/>
  <c r="AA9" i="60"/>
  <c r="AA11" i="60"/>
  <c r="AA18" i="60"/>
  <c r="AA20" i="60"/>
  <c r="AA21" i="60"/>
  <c r="AA22" i="60"/>
  <c r="AA24" i="60"/>
  <c r="AA5" i="60"/>
  <c r="F61" i="71"/>
  <c r="G51" i="71"/>
  <c r="G52" i="71"/>
  <c r="G53" i="71"/>
  <c r="G54" i="71"/>
  <c r="G55" i="71"/>
  <c r="G56" i="71"/>
  <c r="G57" i="71"/>
  <c r="G58" i="71"/>
  <c r="G59" i="71"/>
  <c r="G60" i="71"/>
  <c r="E61" i="71"/>
  <c r="D61" i="71"/>
  <c r="C61" i="71"/>
  <c r="P27" i="59"/>
  <c r="P9" i="59"/>
  <c r="P10" i="59"/>
  <c r="P11" i="59"/>
  <c r="P12" i="59"/>
  <c r="P13" i="59"/>
  <c r="P14" i="59"/>
  <c r="P15" i="59"/>
  <c r="P16" i="59"/>
  <c r="P17" i="59"/>
  <c r="P18" i="59"/>
  <c r="P19" i="59"/>
  <c r="P20" i="59"/>
  <c r="P21" i="59"/>
  <c r="P22" i="59"/>
  <c r="P23" i="59"/>
  <c r="P24" i="59"/>
  <c r="P25" i="59"/>
  <c r="P26" i="59"/>
  <c r="P8" i="59"/>
  <c r="P7" i="59"/>
  <c r="P6" i="59"/>
  <c r="P5" i="59"/>
  <c r="W27" i="60"/>
  <c r="X27" i="60"/>
  <c r="Y27" i="60"/>
  <c r="Z27" i="60"/>
  <c r="V27" i="60"/>
  <c r="O27" i="59"/>
  <c r="G61" i="71" l="1"/>
</calcChain>
</file>

<file path=xl/sharedStrings.xml><?xml version="1.0" encoding="utf-8"?>
<sst xmlns="http://schemas.openxmlformats.org/spreadsheetml/2006/main" count="6018" uniqueCount="1311">
  <si>
    <t>Ceremonial</t>
  </si>
  <si>
    <t>Australian Legendary Tales</t>
  </si>
  <si>
    <t>Corrigel Spring connects to underground water course leading to Narran River</t>
  </si>
  <si>
    <t>Place</t>
  </si>
  <si>
    <t>Corrigul Spings</t>
  </si>
  <si>
    <t>And it bears the name of Googoorewon, the place of trees, and round the edge of it is still to be seen the remains of the borah ring of earth.</t>
  </si>
  <si>
    <t>Googoorewon, which was then a dry plain, with the solemn, gaunt trees all round it, which had once been black fellows</t>
  </si>
  <si>
    <t>More Ausltralian Legendary Tales</t>
  </si>
  <si>
    <t>Field Name</t>
  </si>
  <si>
    <t>Definition</t>
  </si>
  <si>
    <t>Type</t>
  </si>
  <si>
    <t>-29.80864286975867</t>
  </si>
  <si>
    <t>-29.961151311564585</t>
  </si>
  <si>
    <t>Widda Murtee</t>
  </si>
  <si>
    <t>Googoorewon</t>
  </si>
  <si>
    <t>Girrahween</t>
  </si>
  <si>
    <t xml:space="preserve">Coorigel Springs </t>
  </si>
  <si>
    <t xml:space="preserve">Girrahween </t>
  </si>
  <si>
    <t>translates to place of flowers</t>
  </si>
  <si>
    <t>Text</t>
  </si>
  <si>
    <t>Number</t>
  </si>
  <si>
    <t>identifier</t>
  </si>
  <si>
    <t>source_document</t>
  </si>
  <si>
    <t>page_number</t>
  </si>
  <si>
    <t>notes</t>
  </si>
  <si>
    <t>place_name</t>
  </si>
  <si>
    <t>latitude</t>
  </si>
  <si>
    <t>Document/resource the place_name was mentioned in</t>
  </si>
  <si>
    <t>Springs country</t>
  </si>
  <si>
    <t>Narran Lake</t>
  </si>
  <si>
    <t>The Euahlayi Tribe: A study of Aboriginal life in Australia</t>
  </si>
  <si>
    <t>Culgoa River NW of Narran Lake</t>
  </si>
  <si>
    <t>Mildool</t>
  </si>
  <si>
    <t xml:space="preserve">Dooyanweenia </t>
  </si>
  <si>
    <t>Guddee</t>
  </si>
  <si>
    <t>Kinggle plain</t>
  </si>
  <si>
    <t>Brewarrina</t>
  </si>
  <si>
    <t>Mission/Reserve</t>
  </si>
  <si>
    <t>GNR - Parish in the Western Division Parish DP no. 755051</t>
  </si>
  <si>
    <t>Noorahwahgean</t>
  </si>
  <si>
    <t>Gooroolay</t>
  </si>
  <si>
    <t>Coocoran Lake</t>
  </si>
  <si>
    <t>Google Maps - Coocoran Lake (W of Lightning Ridge)
GNR - Description: A lake about 11 km W of Lightning Ridge and about 20 km SSW of Angledool Lake.</t>
  </si>
  <si>
    <t>-29.412897914835074</t>
  </si>
  <si>
    <t>147.84105878071537</t>
  </si>
  <si>
    <t>What Katie Did</t>
  </si>
  <si>
    <t>Bangate Station</t>
  </si>
  <si>
    <t>file_location</t>
  </si>
  <si>
    <t>Apple Books</t>
  </si>
  <si>
    <t>GNR - Lists a Parish in the Brewarrina LGA called Bogeira</t>
  </si>
  <si>
    <t>Bogeira</t>
  </si>
  <si>
    <t>Pastoral</t>
  </si>
  <si>
    <t>Goodooga</t>
  </si>
  <si>
    <t>Google Maps - Corrigul Springs near Angledool
GNR - Cowragil Spring</t>
  </si>
  <si>
    <t>Angledool</t>
  </si>
  <si>
    <t>-29.09840561137501</t>
  </si>
  <si>
    <t>147.92316906814244</t>
  </si>
  <si>
    <t>Swinging Bridge on Bangate Station</t>
  </si>
  <si>
    <t xml:space="preserve">described by K. Langloh Parker (1905) as a 'great gaunt coolabah near our river garden'
</t>
  </si>
  <si>
    <t>Angledool Lake</t>
  </si>
  <si>
    <t>GNR - Description: A lake about 24 km NNW of Lightning Ridge.</t>
  </si>
  <si>
    <t>-29.201124509506386</t>
  </si>
  <si>
    <t>147.90051754964273</t>
  </si>
  <si>
    <t>Hospital Creek</t>
  </si>
  <si>
    <t>-29.820949768106363</t>
  </si>
  <si>
    <t>146.87493323624085</t>
  </si>
  <si>
    <t>Massacre</t>
  </si>
  <si>
    <t>Quantambone Station</t>
  </si>
  <si>
    <t>-29.90739</t>
  </si>
  <si>
    <t>146.85326</t>
  </si>
  <si>
    <t>Angledool Station</t>
  </si>
  <si>
    <t xml:space="preserve"> -29.118851</t>
  </si>
  <si>
    <t xml:space="preserve"> 147.897537</t>
  </si>
  <si>
    <t>The Bora Grounds</t>
  </si>
  <si>
    <t>Zotero</t>
  </si>
  <si>
    <t>CMT</t>
  </si>
  <si>
    <t>Bora ground</t>
  </si>
  <si>
    <t>Narran River</t>
  </si>
  <si>
    <t>-29.240390243887113</t>
  </si>
  <si>
    <t>147.79066662283174</t>
  </si>
  <si>
    <t>Map of Bora Grounds from Mungindi/Gunnedah/Cootamundra/Cobar
No. 17: Narran River. Mrs. K. L. Parker, in the Euahlayi Tribe, described carvings on trees. This is the farthest north-west any carved trees have been recorded.</t>
  </si>
  <si>
    <t>GNR - Description: A watercourse about 168 km long. Starting in Qld at the Ballonne River about 42 km NNE of Angledool (NSW) flowing in a SW by S direction and draining into Narran Lake (NSW)</t>
  </si>
  <si>
    <t>Burial ground</t>
  </si>
  <si>
    <t>Aboriginal Bora held at Gundabloui in 1894</t>
  </si>
  <si>
    <t>Eurie Eurie</t>
  </si>
  <si>
    <t>-29.947796241928557</t>
  </si>
  <si>
    <t>148.22787649419254</t>
  </si>
  <si>
    <t>longitude</t>
  </si>
  <si>
    <t>Google Maps - Boogara Creek  (NW of Goondiwindi)</t>
  </si>
  <si>
    <t>Fish traps</t>
  </si>
  <si>
    <t>Autonomous</t>
  </si>
  <si>
    <t>Mud, Mussels and Toes</t>
  </si>
  <si>
    <t>Collywarry</t>
  </si>
  <si>
    <t>Seed harvesting</t>
  </si>
  <si>
    <t>Euahlayi Country</t>
  </si>
  <si>
    <t>Stone quarry</t>
  </si>
  <si>
    <t>Clearwater Lake</t>
  </si>
  <si>
    <t>Midden</t>
  </si>
  <si>
    <t>Hearth</t>
  </si>
  <si>
    <t>Stone artefact scatter</t>
  </si>
  <si>
    <t>Grindstone</t>
  </si>
  <si>
    <t>Refer to map on pg 183</t>
  </si>
  <si>
    <t>Refer to map on pg 179</t>
  </si>
  <si>
    <t>II. Barwon River - A small midden was found near Boroka Creek on the banks of the Barwon.</t>
  </si>
  <si>
    <t>Barwon River</t>
  </si>
  <si>
    <t>Yamby Lagoon</t>
  </si>
  <si>
    <t>-30.098832970714433</t>
  </si>
  <si>
    <t>147.40106811507283</t>
  </si>
  <si>
    <t>Remington Claypan</t>
  </si>
  <si>
    <t xml:space="preserve"> Zotero</t>
  </si>
  <si>
    <t>Narran Plains</t>
  </si>
  <si>
    <t>-29.64964</t>
  </si>
  <si>
    <t>147.37701</t>
  </si>
  <si>
    <t>Unique indentifier for each occurrence of a place_name mentioned in the source_document</t>
  </si>
  <si>
    <t>Bourke Shire Aboriginal Heritage Study</t>
  </si>
  <si>
    <t>Ozarch EHM</t>
  </si>
  <si>
    <t>-29.956834858156522</t>
  </si>
  <si>
    <t>146.3080777791831</t>
  </si>
  <si>
    <t>Ledknapper Tank</t>
  </si>
  <si>
    <t>-29.551186345450695</t>
  </si>
  <si>
    <t>146.30804237397516</t>
  </si>
  <si>
    <t>Brewarrina Mission</t>
  </si>
  <si>
    <t>-29.980354969068884</t>
  </si>
  <si>
    <t>146.96675182195125</t>
  </si>
  <si>
    <t>Weilmoringle Station</t>
  </si>
  <si>
    <t>Culgoa Downs</t>
  </si>
  <si>
    <t xml:space="preserve"> -29.50168</t>
  </si>
  <si>
    <t xml:space="preserve"> 146.62145</t>
  </si>
  <si>
    <t>Cumborah</t>
  </si>
  <si>
    <t>-29.74379842635983</t>
  </si>
  <si>
    <t>Milroy Station</t>
  </si>
  <si>
    <t xml:space="preserve"> -29.59557</t>
  </si>
  <si>
    <t>146.691</t>
  </si>
  <si>
    <t>Butcher's Tree</t>
  </si>
  <si>
    <t>Red Hill</t>
  </si>
  <si>
    <t>Aboriginal community</t>
  </si>
  <si>
    <t>Stone arrangement</t>
  </si>
  <si>
    <t>Grinding grooves</t>
  </si>
  <si>
    <t>Food procurement</t>
  </si>
  <si>
    <t>The Dendroglyphs or "Carved Trees" of New South Wales</t>
  </si>
  <si>
    <t>The Daily Telegraph</t>
  </si>
  <si>
    <t>year</t>
  </si>
  <si>
    <t>The Sun</t>
  </si>
  <si>
    <t>The Sydney Morning Herald</t>
  </si>
  <si>
    <t>New South Wales Police Gazette and Weekly Record of Crime</t>
  </si>
  <si>
    <t>The Farmer and Settler</t>
  </si>
  <si>
    <t>The Yass Courier</t>
  </si>
  <si>
    <t>Tribune</t>
  </si>
  <si>
    <t>Urie Point</t>
  </si>
  <si>
    <t>146.77282</t>
  </si>
  <si>
    <t>Weilmoringle</t>
  </si>
  <si>
    <t>Smith's Weekly</t>
  </si>
  <si>
    <t>Water Conservation. The Work of the Commission.</t>
  </si>
  <si>
    <t>Wild and Wide</t>
  </si>
  <si>
    <t>The Aboriginal Fisheries at Brewarrina</t>
  </si>
  <si>
    <t>Finding out about Aboriginal Burials</t>
  </si>
  <si>
    <t>The Two Worlds of Jimmie Barker</t>
  </si>
  <si>
    <t>Book</t>
  </si>
  <si>
    <t>Old Gerara</t>
  </si>
  <si>
    <t>Mundiwa</t>
  </si>
  <si>
    <t>Culgoa River</t>
  </si>
  <si>
    <t>Birrie River</t>
  </si>
  <si>
    <t>"Wirrawirra means 'fallen fire."</t>
  </si>
  <si>
    <t>Wirrawirra</t>
  </si>
  <si>
    <t>"Weilmoringle means 'old man saltbush'."</t>
  </si>
  <si>
    <t>Walgett</t>
  </si>
  <si>
    <t>Little Bend</t>
  </si>
  <si>
    <t>Google Maps</t>
  </si>
  <si>
    <t>Morilla Ridges</t>
  </si>
  <si>
    <t>Not located</t>
  </si>
  <si>
    <t>-29.9833333333</t>
  </si>
  <si>
    <t>147.0981944444</t>
  </si>
  <si>
    <t>-29.96603381695011</t>
  </si>
  <si>
    <t>146.56679538893005</t>
  </si>
  <si>
    <t>-29.3622</t>
  </si>
  <si>
    <t>-29.2488863149501</t>
  </si>
  <si>
    <t>146.921040336351</t>
  </si>
  <si>
    <t>-29.19834</t>
  </si>
  <si>
    <t>146.29335</t>
  </si>
  <si>
    <t>-29.60318</t>
  </si>
  <si>
    <t xml:space="preserve"> 146.61976</t>
  </si>
  <si>
    <t>-29.322165965092978</t>
  </si>
  <si>
    <t>146.89843603963135</t>
  </si>
  <si>
    <t>-29.559161484886296</t>
  </si>
  <si>
    <t>146.9150892238405</t>
  </si>
  <si>
    <t>-30.02417130158875</t>
  </si>
  <si>
    <t>148.1220195039572</t>
  </si>
  <si>
    <t>-29.956901080577335</t>
  </si>
  <si>
    <t>148.10957831190623</t>
  </si>
  <si>
    <t>coordinates_precision</t>
  </si>
  <si>
    <t>S. Martin 1979 p. 134 quotes Mitchell (1848, p.77) 'Morella Ridges' (The Ridge beside the Narran) AND "These fruits were probably  easily exploited from the Narran River as it runs beside The Ridge where the fruits and tree seeds belonging in the shrub woodland vegetation complex grow."
There is a Morilla St in Lightning Ridge</t>
  </si>
  <si>
    <t>coordinates_from</t>
  </si>
  <si>
    <t>Aboriginal Fisheries of the Darling-Barwon Rivers</t>
  </si>
  <si>
    <t>Geerah</t>
  </si>
  <si>
    <t>Gurrungga</t>
  </si>
  <si>
    <t>Callewatta</t>
  </si>
  <si>
    <t>Moheni</t>
  </si>
  <si>
    <t>Mirringunna</t>
  </si>
  <si>
    <t>-29.957936648216613</t>
  </si>
  <si>
    <t>146.85623099248141</t>
  </si>
  <si>
    <t>-29.9213333333</t>
  </si>
  <si>
    <t>146.60975</t>
  </si>
  <si>
    <t>Toulby</t>
  </si>
  <si>
    <t>Community</t>
  </si>
  <si>
    <t>Author's diagram of language groups that attended the Bora held on Euahlayi Country in 186?  (from Howitt 1904 p.688 - information incomplete).</t>
  </si>
  <si>
    <t>Dreaming story</t>
  </si>
  <si>
    <t>Old Angeldool</t>
  </si>
  <si>
    <t>Kopi</t>
  </si>
  <si>
    <t>-29.10743527127758</t>
  </si>
  <si>
    <t>147.9064173803117</t>
  </si>
  <si>
    <t>147.5922351099797</t>
  </si>
  <si>
    <t>-29.95798082869684</t>
  </si>
  <si>
    <t>146.30858369081866</t>
  </si>
  <si>
    <t>Mungaroo</t>
  </si>
  <si>
    <t>Correct/current spelling</t>
  </si>
  <si>
    <t>coordintes_precision</t>
  </si>
  <si>
    <t>Dataset Schema</t>
  </si>
  <si>
    <t>Types of Aboriginal communities</t>
  </si>
  <si>
    <t>Ranking</t>
  </si>
  <si>
    <t>Place were a massacre occurred</t>
  </si>
  <si>
    <t>Low precision</t>
  </si>
  <si>
    <t>GNR - Description: A watercourse about 11 km long. It rises about 10 km E by N of Hailstone Tank flowing Low precisionly W by N into Bokhara River, about 15 km north of Brewarrina.</t>
  </si>
  <si>
    <t>Ochre quarry</t>
  </si>
  <si>
    <t>147.7836805269158</t>
  </si>
  <si>
    <t>Grand Total</t>
  </si>
  <si>
    <t>-29.0213055556</t>
  </si>
  <si>
    <t>147.8559166667</t>
  </si>
  <si>
    <t>-29.0705833333</t>
  </si>
  <si>
    <t>147.7478055556</t>
  </si>
  <si>
    <t>-30.124882018811356</t>
  </si>
  <si>
    <t>Count of place_name</t>
  </si>
  <si>
    <t>Low precision Total</t>
  </si>
  <si>
    <t>Latitude of place_name</t>
  </si>
  <si>
    <t>Longitude of place_name</t>
  </si>
  <si>
    <t>place_category</t>
  </si>
  <si>
    <t>place_type_1</t>
  </si>
  <si>
    <t>Definitions of place categories and place types</t>
  </si>
  <si>
    <t>place_type</t>
  </si>
  <si>
    <t>Type of place where resources were obtained/made</t>
  </si>
  <si>
    <t>Hierarchical category for assigning place_types as per the place_category list</t>
  </si>
  <si>
    <t>Categorisation of place_type as per place_type list (multiple place_type can be assigned to the same place_name entry)</t>
  </si>
  <si>
    <t>Types of ceremonial places</t>
  </si>
  <si>
    <t>place_type_2</t>
  </si>
  <si>
    <t>place_type_3</t>
  </si>
  <si>
    <t>Name of a place with no indication of a specific place_type</t>
  </si>
  <si>
    <t>Historical Indigenous use of aquatic Resource places in Australia’s Murray-Darling Basin, and its implications for river management</t>
  </si>
  <si>
    <t>Gate Sample - This place differs from all the others in this category. It consists of a small scatter of stone artifacts lying on a slightly scalded area. There are no organic remains and this place is not stratified.</t>
  </si>
  <si>
    <t>Resource</t>
  </si>
  <si>
    <t>Count of coordinates_precision</t>
  </si>
  <si>
    <t xml:space="preserve">Count </t>
  </si>
  <si>
    <t>Row Labels</t>
  </si>
  <si>
    <t>Count of place_type_1</t>
  </si>
  <si>
    <t>Count of place_type_2</t>
  </si>
  <si>
    <t>Count of place_type_3</t>
  </si>
  <si>
    <t>TOTAL</t>
  </si>
  <si>
    <t>Distribution of 'place_category' for each 'place_name'</t>
  </si>
  <si>
    <t>Count of place_category</t>
  </si>
  <si>
    <t>Total</t>
  </si>
  <si>
    <t>(filter on place_name)</t>
  </si>
  <si>
    <t>Count of 'place_category'</t>
  </si>
  <si>
    <t>Count of each 'place_name'</t>
  </si>
  <si>
    <t>period</t>
  </si>
  <si>
    <t>Dreamtime</t>
  </si>
  <si>
    <t>Unknown</t>
  </si>
  <si>
    <t xml:space="preserve">translates to place of trees and referred to as the big borah </t>
  </si>
  <si>
    <t>Yambacoona</t>
  </si>
  <si>
    <t>1828-1831</t>
  </si>
  <si>
    <t xml:space="preserve">After the massacres, the natives disappeared into the bush and  most of them moved towards the west. Those who survived warned the  others who lived near the Culgoa and Birrie Rivers, and they  disappeared also  (Barker 1972, pp.124-5). </t>
  </si>
  <si>
    <t>1879-1901</t>
  </si>
  <si>
    <t>Referring to the Hospital Creek massacre</t>
  </si>
  <si>
    <t>-29.544588938230326</t>
  </si>
  <si>
    <t>147.21954358946417</t>
  </si>
  <si>
    <t>author_surname</t>
  </si>
  <si>
    <t>author_firstname</t>
  </si>
  <si>
    <t>Hope
Little</t>
  </si>
  <si>
    <t>Jeanete
Judith</t>
  </si>
  <si>
    <t>Mathews</t>
  </si>
  <si>
    <t>Janet</t>
  </si>
  <si>
    <t>Singleton</t>
  </si>
  <si>
    <t>Jane</t>
  </si>
  <si>
    <t>Langloh Parker</t>
  </si>
  <si>
    <t>Katie</t>
  </si>
  <si>
    <t>Black</t>
  </si>
  <si>
    <t>Lindsay</t>
  </si>
  <si>
    <t>Dargin</t>
  </si>
  <si>
    <t>Peter</t>
  </si>
  <si>
    <t>Humphries</t>
  </si>
  <si>
    <t>Paul</t>
  </si>
  <si>
    <t>Etherridge</t>
  </si>
  <si>
    <t>R.</t>
  </si>
  <si>
    <t>Robert Hamilton</t>
  </si>
  <si>
    <t>Sarah</t>
  </si>
  <si>
    <t>year_published</t>
  </si>
  <si>
    <t>The Burbung of the Wiradthuri Tribes</t>
  </si>
  <si>
    <t>The Bora of the Kamilaroi Tribes</t>
  </si>
  <si>
    <t>Message-Sticks Used by the Aborigines of Australia</t>
  </si>
  <si>
    <t>1894-1897</t>
  </si>
  <si>
    <t>From AMSD (Australian Message Stick Database): A message stick sent by Nani in Goodooga to Pilay at Tinnenburra to coordinate a ceremony at Cudnapper creek</t>
  </si>
  <si>
    <t>Bokhara River</t>
  </si>
  <si>
    <t>From AMSD (Australian Message Stick Database): A message stick sent by Nani in Goodooga to Pilay at Tinnenburra to coordinate a ceremony at Cudnapper creek
https://amsd.clld.org/contributions/AMus_E032197#4/-28.95/146.62</t>
  </si>
  <si>
    <t>293-294</t>
  </si>
  <si>
    <t>294-295</t>
  </si>
  <si>
    <t>Tatalla</t>
  </si>
  <si>
    <t>295-296</t>
  </si>
  <si>
    <t>Goodbye Riverbank</t>
  </si>
  <si>
    <t>Žagar</t>
  </si>
  <si>
    <t>Cilka</t>
  </si>
  <si>
    <t>Oral account from Roy Barker</t>
  </si>
  <si>
    <t>Oral account from Albert Walford</t>
  </si>
  <si>
    <t>1890-1915</t>
  </si>
  <si>
    <t>Llanillo Station</t>
  </si>
  <si>
    <t>1850-1880</t>
  </si>
  <si>
    <t>Oral account from Gary Murphy</t>
  </si>
  <si>
    <t>Gingie Reserve</t>
  </si>
  <si>
    <t>A Noted Native</t>
  </si>
  <si>
    <t>Bourke  [From our Correspondent.] April 20 - Bushranging in the Far North-West</t>
  </si>
  <si>
    <t>Brewarrina - Racism Rampant in Country Town.</t>
  </si>
  <si>
    <t>Goodooga George, Pathfinder</t>
  </si>
  <si>
    <t>Last of the Culgoa Blacks. A reputed wholesale murderer.</t>
  </si>
  <si>
    <t>Missing Shepherd</t>
  </si>
  <si>
    <t>One Eyed Peter</t>
  </si>
  <si>
    <t>Our Diary. - No. IX.</t>
  </si>
  <si>
    <t>Robberies with Arms or Violence</t>
  </si>
  <si>
    <t>147.0192678304509</t>
  </si>
  <si>
    <t>-29.677881323893896</t>
  </si>
  <si>
    <t>-29.988695594666403</t>
  </si>
  <si>
    <t>148.07503197109813</t>
  </si>
  <si>
    <t>-29.121154792923477</t>
  </si>
  <si>
    <t xml:space="preserve"> 147.45180308545335</t>
  </si>
  <si>
    <t>-29.612148998436144</t>
  </si>
  <si>
    <t>147.8632250298351</t>
  </si>
  <si>
    <t>146.9843650961434</t>
  </si>
  <si>
    <t>-29.043156444734976</t>
  </si>
  <si>
    <t>Pastoral station in Queensland -27.59283 146.866
https://www.exploroz.com/places/36809/qld+tatala</t>
  </si>
  <si>
    <t>Martin</t>
  </si>
  <si>
    <t>Journal of an expediation into the interior of tropical Australia, in search of a route from Sydney to the Gulf of Carpentaria</t>
  </si>
  <si>
    <t>Mitchell</t>
  </si>
  <si>
    <t>Thomas Livingstone</t>
  </si>
  <si>
    <t>Goodeingora</t>
  </si>
  <si>
    <t>Toolowly</t>
  </si>
  <si>
    <t>Carawy</t>
  </si>
  <si>
    <t>Keegurodyin</t>
  </si>
  <si>
    <t/>
  </si>
  <si>
    <t>Tooningora</t>
  </si>
  <si>
    <t>Cawan</t>
  </si>
  <si>
    <t>Shearing Account, Bangate Station 13th November 1886
Shearing Pay Sheets</t>
  </si>
  <si>
    <t>Shearing Account, Bangate Station 13th November 1886
Particulars of Transfers 1886</t>
  </si>
  <si>
    <t>Bangate Station Estimates, 27th July 1886</t>
  </si>
  <si>
    <t>Angledool Station Balance Sheet for the year ending 31st December 1895</t>
  </si>
  <si>
    <t>Angledool Station Balance Sheet for the year ending 31st December 1897</t>
  </si>
  <si>
    <t>Angledool Station Balance Sheet for the year ending 31st December 1896</t>
  </si>
  <si>
    <t>Angledool Station Balance Sheet for the year ending 31st December 1898</t>
  </si>
  <si>
    <t>Angledool Station Balance Sheet for the year ending 31st December 1899</t>
  </si>
  <si>
    <t>Wages Account
Scrub cutting (including rations)</t>
  </si>
  <si>
    <t>List of Stockowners and Licensess in the Colony of New South Wales</t>
  </si>
  <si>
    <t>pp. 22-24 Brewarrina. Aboriginal P.A
Photo of record: Photo 032_Brewarrina. Aboriginal, P.A.</t>
  </si>
  <si>
    <t>The Australian Pastoral Directory 1893</t>
  </si>
  <si>
    <t>pp. 14-16 Brewarrina. Aboriginals P.A.C., Mission Station</t>
  </si>
  <si>
    <t>Weilmoringle: A unique bi-cultural community</t>
  </si>
  <si>
    <t>Gill</t>
  </si>
  <si>
    <t>Merri</t>
  </si>
  <si>
    <t>Noel Butlin
ARCHIVES reference DU125.M83 G56 1996</t>
  </si>
  <si>
    <t>wayilmarrangkal - Muruwari word for old man salt bush (Weilmoringle)</t>
  </si>
  <si>
    <t>ngarntu - Muruwari word for the Culgoa River (from Gill, 1996 p. 14)</t>
  </si>
  <si>
    <t>The Muruwari people had many reasons to believe that the Mundaguddah or Rainbow Serpent lived in the Weilmoringle waterhole.</t>
  </si>
  <si>
    <t>Aborigines of Victoria: With notes relating to the habits of the Natives of other parts of Australia and Tasmania compiled from various sources for the Government of Victoria Volume 2</t>
  </si>
  <si>
    <t>Brough Smyth</t>
  </si>
  <si>
    <t>Robert</t>
  </si>
  <si>
    <t>AIATSIS</t>
  </si>
  <si>
    <t>King "Rory", an old cheif of the Wailwun (Wile-one) tribe, on the Barwan near the junction of the Namoi, gave me the following account of the stars...</t>
  </si>
  <si>
    <t>Memory and history at Angledool, New South Wales</t>
  </si>
  <si>
    <t>Menin</t>
  </si>
  <si>
    <t>Marisa</t>
  </si>
  <si>
    <t>1860-1870</t>
  </si>
  <si>
    <t>Walcha Hut</t>
  </si>
  <si>
    <t>place_category Definition</t>
  </si>
  <si>
    <t>place_type Definition</t>
  </si>
  <si>
    <t>001</t>
  </si>
  <si>
    <t>002</t>
  </si>
  <si>
    <t>003</t>
  </si>
  <si>
    <t>004</t>
  </si>
  <si>
    <t>005</t>
  </si>
  <si>
    <t>006</t>
  </si>
  <si>
    <t>007</t>
  </si>
  <si>
    <t>008</t>
  </si>
  <si>
    <t>009</t>
  </si>
  <si>
    <t>010</t>
  </si>
  <si>
    <t>011</t>
  </si>
  <si>
    <t>012</t>
  </si>
  <si>
    <t>014</t>
  </si>
  <si>
    <t>015</t>
  </si>
  <si>
    <t>016</t>
  </si>
  <si>
    <t>017</t>
  </si>
  <si>
    <t>018</t>
  </si>
  <si>
    <t>019</t>
  </si>
  <si>
    <t>020</t>
  </si>
  <si>
    <t>021</t>
  </si>
  <si>
    <t>022</t>
  </si>
  <si>
    <t>023</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</si>
  <si>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</si>
  <si>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</si>
  <si>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</si>
  <si>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</si>
  <si>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</si>
  <si>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</si>
  <si>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</si>
  <si>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</si>
  <si>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</si>
  <si>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</si>
  <si>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</si>
  <si>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</si>
  <si>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</si>
  <si>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</si>
  <si>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</si>
  <si>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</si>
  <si>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</si>
  <si>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</si>
  <si>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</si>
  <si>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</si>
  <si>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</si>
  <si>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</si>
  <si>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</si>
  <si>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</si>
  <si>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</si>
  <si>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</si>
  <si>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</si>
  <si>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</si>
  <si>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</si>
  <si>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</si>
  <si>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</si>
  <si>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</si>
  <si>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</si>
  <si>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</si>
  <si>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</si>
  <si>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</si>
  <si>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</si>
  <si>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</si>
  <si>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</si>
  <si>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</si>
  <si>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</si>
  <si>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</si>
  <si>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</si>
  <si>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</si>
  <si>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</si>
  <si>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</si>
  <si>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</si>
  <si>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</si>
  <si>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</si>
  <si>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</si>
  <si>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</si>
  <si>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</si>
  <si>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</si>
  <si>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</si>
  <si>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</si>
  <si>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</si>
  <si>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</si>
  <si>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</si>
  <si>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</si>
  <si>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</si>
  <si>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</si>
  <si>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</si>
  <si>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</si>
  <si>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</si>
  <si>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</si>
  <si>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</si>
  <si>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</si>
  <si>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</si>
  <si>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</si>
  <si>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</si>
  <si>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</si>
  <si>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</si>
  <si>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</si>
  <si>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</si>
  <si>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</si>
  <si>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100</t>
  </si>
  <si>
    <t>101</t>
  </si>
  <si>
    <t>102</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</si>
  <si>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</si>
  <si>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</si>
  <si>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</si>
  <si>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</si>
  <si>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</si>
  <si>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</si>
  <si>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</si>
  <si>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</si>
  <si>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</si>
  <si>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</si>
  <si>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</si>
  <si>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</si>
  <si>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</si>
  <si>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</si>
  <si>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</si>
  <si>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</si>
  <si>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</si>
  <si>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</si>
  <si>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</si>
  <si>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</si>
  <si>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</si>
  <si>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</si>
  <si>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</si>
  <si>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</si>
  <si>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</si>
  <si>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</si>
  <si>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</si>
  <si>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</si>
  <si>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</si>
  <si>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</si>
  <si>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</si>
  <si>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</si>
  <si>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</si>
  <si>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</si>
  <si>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</si>
  <si>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</si>
  <si>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</si>
  <si>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</si>
  <si>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</si>
  <si>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</si>
  <si>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</si>
  <si>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</si>
  <si>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</si>
  <si>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</si>
  <si>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</si>
  <si>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</si>
  <si>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</si>
  <si>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</si>
  <si>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</si>
  <si>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</si>
  <si>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</si>
  <si>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</si>
  <si>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</si>
  <si>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</si>
  <si>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</si>
  <si>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</si>
  <si>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</si>
  <si>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</si>
  <si>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</si>
  <si>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</si>
  <si>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</si>
  <si>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</si>
  <si>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</si>
  <si>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</si>
  <si>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</si>
  <si>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</si>
  <si>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</si>
  <si>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</si>
  <si>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</si>
  <si>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</si>
  <si>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</si>
  <si>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</si>
  <si>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</si>
  <si>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</si>
  <si>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</si>
  <si>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</si>
  <si>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</si>
  <si>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</si>
  <si>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</si>
  <si>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</si>
  <si>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</si>
  <si>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</si>
  <si>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</si>
  <si>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</si>
  <si>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</si>
  <si>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</si>
  <si>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</si>
  <si>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193</t>
  </si>
  <si>
    <t>194</t>
  </si>
  <si>
    <t>195</t>
  </si>
  <si>
    <t>196</t>
  </si>
  <si>
    <t>197</t>
  </si>
  <si>
    <t>198</t>
  </si>
  <si>
    <t>199</t>
  </si>
  <si>
    <t>200</t>
  </si>
  <si>
    <t>201</t>
  </si>
  <si>
    <t>202</t>
  </si>
  <si>
    <t>203</t>
  </si>
  <si>
    <t>Weilmoringle waterhole</t>
  </si>
  <si>
    <t>-29.24278</t>
  </si>
  <si>
    <t>-30.00</t>
  </si>
  <si>
    <t>Precision Ranking for Coordinates</t>
  </si>
  <si>
    <t xml:space="preserve">Ranking of the precision of the coordinates as per the Precision Ranking  for Coordinates Table </t>
  </si>
  <si>
    <t>Callewatta is  Ngemba for Darling River</t>
  </si>
  <si>
    <t>Unknown / early colonial</t>
  </si>
  <si>
    <t>Robin was born in September 1901. His father was James Campbell who was head stockman on the station. James had been brought up by the Mackenzies who were the first European owners of Weilmoringle</t>
  </si>
  <si>
    <t>Unknown / pre-colonial</t>
  </si>
  <si>
    <t>coordinates are for the area between the lower Castlereagh and Barwon Rivers</t>
  </si>
  <si>
    <t>Refer to map on page 2-3 of Aboriginal Fisheries of the Darling-Barwon Rivers</t>
  </si>
  <si>
    <t>Ngemba word for the large waterhole on the Barwon River at Brewarrina
Coordinates are for the Brewarrina fist traps</t>
  </si>
  <si>
    <t>Ngemba word for the large waterhole on the Barwon River at Brewarrina
Coordinates are for the Brewarrina fish traps</t>
  </si>
  <si>
    <t>Possibly spelt Mohenia 
Coordinates are for Mohenia</t>
  </si>
  <si>
    <t>Ngemba word for Brewarrina fish traps
Coordinates are for the Brewarrina fist traps</t>
  </si>
  <si>
    <t>Ngemba word for Brewarrina fish traps
Refer to map on pg 37 of Aborigina Fisheries of the Darling-Barwon Rivers
Coordinates are for the Brewarrina fist traps</t>
  </si>
  <si>
    <t>Refer to "Table 5-1: Places proposed as significant by the Aboriginal people consulted for this report." on page 68 and map on page 99
Coordinates are for the headwaters of the Darling River</t>
  </si>
  <si>
    <t>Coordinates are for Angeldool</t>
  </si>
  <si>
    <t>Coordinates are for Toulby Station</t>
  </si>
  <si>
    <t>Coordinates for the Brewarrina Mission used as the reference location</t>
  </si>
  <si>
    <t>Refer to map on pg 171
Part of the Narran Lake system. Coordinates for Narran Lake used</t>
  </si>
  <si>
    <t>Column Labels</t>
  </si>
  <si>
    <t>CMT (Ceremonial)</t>
  </si>
  <si>
    <t>CMT (Resource)</t>
  </si>
  <si>
    <t>CMT (resource)</t>
  </si>
  <si>
    <t>CMT (ceremonial)</t>
  </si>
  <si>
    <t>place_type 1, 2 &amp; 3</t>
  </si>
  <si>
    <t>A place people were interred</t>
  </si>
  <si>
    <t>A place ceremonies where conducted</t>
  </si>
  <si>
    <t>Scarred for ceremonial purposes eg., bora grounds, burials</t>
  </si>
  <si>
    <t>A place referred to in a Dreaming story</t>
  </si>
  <si>
    <t>A place where stones have been anthropogenically arranged</t>
  </si>
  <si>
    <t>A community of Aboriginal people at the point of settler colonisation</t>
  </si>
  <si>
    <t>A community of Aboriginal people living near a settler colonised town</t>
  </si>
  <si>
    <t>A community of Aboriginal people living on a government mission/reserve</t>
  </si>
  <si>
    <t>A place where one or more Aboriginal people were murdered</t>
  </si>
  <si>
    <t>A place mentioned in the literature but there is no context for assigning a place type</t>
  </si>
  <si>
    <t>Scarred through the acquisition of resources eg. coolamon, canoe</t>
  </si>
  <si>
    <t>Indigenous-built fish trapping systems</t>
  </si>
  <si>
    <t>A place where a hearth has been recoded</t>
  </si>
  <si>
    <t>A place where grindstones have been recorded</t>
  </si>
  <si>
    <t>A place where grinding grooves have been recorded</t>
  </si>
  <si>
    <t>A place where kopi has been harvested/used</t>
  </si>
  <si>
    <t>A place where a midden has been recorded</t>
  </si>
  <si>
    <t>A place where seed harvesting took place</t>
  </si>
  <si>
    <t>A place where a stone artefact scatter was recorded</t>
  </si>
  <si>
    <t>A place where stone was quarried</t>
  </si>
  <si>
    <t>Minggah tree 
Bangate Station</t>
  </si>
  <si>
    <t>Not located Total</t>
  </si>
  <si>
    <t>Notes:</t>
  </si>
  <si>
    <t>Ranking of coordinates precision</t>
  </si>
  <si>
    <t>Reporting Year</t>
  </si>
  <si>
    <t xml:space="preserve">Adults </t>
  </si>
  <si>
    <t>Children</t>
  </si>
  <si>
    <t>Boorooma</t>
  </si>
  <si>
    <t>Milroy</t>
  </si>
  <si>
    <t>Period (months)</t>
  </si>
  <si>
    <t>Notes</t>
  </si>
  <si>
    <t>Annual Expenditure for year</t>
  </si>
  <si>
    <t>Rations, clothing, work</t>
  </si>
  <si>
    <t>Rations and clothing</t>
  </si>
  <si>
    <t>Rations</t>
  </si>
  <si>
    <t>Journal</t>
  </si>
  <si>
    <t>Vol., 42, Part 2</t>
  </si>
  <si>
    <t>Vol., 43, Part 4</t>
  </si>
  <si>
    <t>Vol., 45, Part 2</t>
  </si>
  <si>
    <t>s</t>
  </si>
  <si>
    <t>d</t>
  </si>
  <si>
    <t>Vol., 47, Part 2, 1890</t>
  </si>
  <si>
    <t>L</t>
  </si>
  <si>
    <t>First time a separate report for the Brewarrina Mission was included</t>
  </si>
  <si>
    <t>Monthly Average</t>
  </si>
  <si>
    <t>Vol., 49, Part 2, Session 1891-92</t>
  </si>
  <si>
    <t>Vol., 50, Part 2 Session 1892-93</t>
  </si>
  <si>
    <t>From census</t>
  </si>
  <si>
    <t>Vol., 51, Part 2 Session 1893</t>
  </si>
  <si>
    <t>Vol, 52, Part 2 Session 1894</t>
  </si>
  <si>
    <t>Vol., 53, Part 2 Session 1894-95</t>
  </si>
  <si>
    <t>Dungalear</t>
  </si>
  <si>
    <t>o</t>
  </si>
  <si>
    <t>Manager's salary, provisions, clothing, sheep, building matterial, additions to school room, wages of handyman (aboriginal) and sundries</t>
  </si>
  <si>
    <t>Vol., LVII, Part 2 Session 1898</t>
  </si>
  <si>
    <t>Vol., LVI - Part 1 Session 1897</t>
  </si>
  <si>
    <t>Vol., LXI, Part 1, Third Session 1899</t>
  </si>
  <si>
    <t>Manager's salary, aborigines' wages, provisions, medical comforts and clothing</t>
  </si>
  <si>
    <t>Milrea</t>
  </si>
  <si>
    <t>Vol., 40, Part 1 Session 1885-86</t>
  </si>
  <si>
    <t>Vol., 39, Part 2 Session 1885</t>
  </si>
  <si>
    <t>Vol., 34, Part 2 1883</t>
  </si>
  <si>
    <t>Walgettt</t>
  </si>
  <si>
    <t>Nearly all the young men are employed on stations; they generally assist the old ones. The station owners are very good to the aboriginals in this district.</t>
  </si>
  <si>
    <t>On stations mustering stock, cutting firewood, drawing water &amp;c; old men and women live on charity.</t>
  </si>
  <si>
    <t>Exploring Expedition under Sir Thomas Mitchell</t>
  </si>
  <si>
    <t>The Melbourne Argus</t>
  </si>
  <si>
    <t>Possibly either Boorooma or Collywarry stations</t>
  </si>
  <si>
    <t>Sat 26th December 1885
I have heard that the blacks near Brewarrina and other townships are supplied with rations.</t>
  </si>
  <si>
    <t>The drought and floods</t>
  </si>
  <si>
    <t>Gideon</t>
  </si>
  <si>
    <t>Turpentine for Snake-bite</t>
  </si>
  <si>
    <t>Forrester</t>
  </si>
  <si>
    <t>Robert H.</t>
  </si>
  <si>
    <t>John P.</t>
  </si>
  <si>
    <t>Sat 5th March 1892
Some years ago, when on the lower end of our Narran station, a horse, ridden by a blackfeltow, belonging to Dr. Mein's station (the adjoining station to ours), on the Narran, trod fair on an adder's nead, crushing it to a regular mash.</t>
  </si>
  <si>
    <t>Boorooma station</t>
  </si>
  <si>
    <t>George August Mein and his brother Pultney purchased Boorooma in 1878</t>
  </si>
  <si>
    <t>Discovery of Human Remains near Walgett</t>
  </si>
  <si>
    <t>The Sydney Mail</t>
  </si>
  <si>
    <t>Sat 8th July 1899
Mrs. Langloh Parker, in her 'Legendary Tales' (prefaced by Andrew Lang)
refers to the widows' caps, and hearing of Mr.Kilgour's find, that lady last week wrote to us from Bangate, near Walgett, as follows : — ' Re those kopi helmets that Mr. Kilgour got, our blacks' used to make them aud wear them for mourning, widowsin particular, but never take them off whole and keep them...
On the Narran the blacks call them bidigi telkul.'</t>
  </si>
  <si>
    <t>Widow's caps</t>
  </si>
  <si>
    <t>Colonial Fragments</t>
  </si>
  <si>
    <t>The Daily Observer</t>
  </si>
  <si>
    <t>The Narran</t>
  </si>
  <si>
    <t>The Maitland Mercury</t>
  </si>
  <si>
    <t>Sat 28th March 1885
Lieutenant Morehead followed the Bokhara down ; the remaining troop taking the Narran ; and the blacks were taught a severe lesson, but the ringleader, "The Bull," escaped.</t>
  </si>
  <si>
    <t>In this article there is a reference to rifle holes for the purpose of shooting Aboriginals</t>
  </si>
  <si>
    <t>The Drought Fiend</t>
  </si>
  <si>
    <t>The National Advocate</t>
  </si>
  <si>
    <t>The Sketcher. National Police Incidents. -I. Reminiscences of the early sixties</t>
  </si>
  <si>
    <t>The Queenslander</t>
  </si>
  <si>
    <t>New Notices. Wednesday, February 12.</t>
  </si>
  <si>
    <t>Brevities</t>
  </si>
  <si>
    <t>The Evening News</t>
  </si>
  <si>
    <t>Linnean Society</t>
  </si>
  <si>
    <t xml:space="preserve">Sat 8th March 1890
About four or five years later he took up the Narran Lake Run, a fine extent of country about 25 miles back from the Barwon station. Although the aboriginals were very numerous in some parts of the country, and in some parts of the
colony in those early days they very often showed themselves very reactive and turbulent, they never gave Mr. White or his father any trouble, a fact which, taken with others of the kind, seems to prove what has been often alleged, that where the blacks were fairly and justly treated by the white intruders on their hunting-grounds they were reasonably peaceful and undemonstrative. </t>
  </si>
  <si>
    <t xml:space="preserve">The Hon. James White. Australia's King of the Turf. </t>
  </si>
  <si>
    <t>The Australian Star</t>
  </si>
  <si>
    <t>Parliament of New South Wales. Thursday February 13, 1873</t>
  </si>
  <si>
    <t>The Newcastle Chronicle</t>
  </si>
  <si>
    <t>Sat 13th May 1893
A few weeks ago your correspondent had occasion to visit the far off town of
Brewarrina, and hearing that an Aborigines' Mission station was situated
about ten miles up the Bar won River I expressed an earnest desire to see the
place before my return.</t>
  </si>
  <si>
    <t>Aborigines at Brewarrina New South Wales</t>
  </si>
  <si>
    <t>Taylor</t>
  </si>
  <si>
    <t>A.S.</t>
  </si>
  <si>
    <t>The Methodist</t>
  </si>
  <si>
    <t>Brewarrina Aborigines Mission (by Telegraph)</t>
  </si>
  <si>
    <t>The Western Herald</t>
  </si>
  <si>
    <t>Brewarrina.</t>
  </si>
  <si>
    <t>Sat 21st September 1872
We have had two days' heavy rain since I wrote, since which the weather has been beautiful, causing the grass and herbage to grow more luxuriantly. The river has still an upward tendency, caused by the Wammerawa water, but it is not likely to rise much higher, the fisheries being yet visible and supplying the blacks with fish in any quantity.</t>
  </si>
  <si>
    <t>Sat 27th February 1892
 At this township there is a natural bar across the river formed by rocks, and when the river is very low, blacks build yards with the rocks for the purpose of catching  fish, and fish are trapped in great numbera, hence the aboriginal name  Brewarrina, which means " the fishery."</t>
  </si>
  <si>
    <t>Brewarrina. (from the Argus)</t>
  </si>
  <si>
    <t>Aborigines Mission Station</t>
  </si>
  <si>
    <t>Those Wollar Blacks</t>
  </si>
  <si>
    <t xml:space="preserve">Thurs 11 April 1889
The blacks are now busily engaged in making sun-dried bricks, which are used, as soon as ready for handling, in the erection of huts 25 x 12, and divided into two rooms, with fire-place in the outer room. Five of these have been started, and, if the blacks continue to work as well as they have begun, will be ready for roofing in about a month.
The blacks immediately around Brewarrina comprise three tribes and number some 300 to 400; about 80 may be considered as belonging to the station, though only about 40 have yet made it their home. </t>
  </si>
  <si>
    <t>The Brewarrina Aboriginal Mission</t>
  </si>
  <si>
    <t>Aborigines Board</t>
  </si>
  <si>
    <t xml:space="preserve">Fri 12th October 1900
The condition of the aborigines transferred from Wollar to Brewarrlna was discussed at yesterday's meeting of the Aborigines' Board. It was reported that the aborigines were totally unprovided for. The board decided to recommend the local board to provide them with rations and clothing, more particularly the women and children, until the able-bodied men found sultable employment. 
</t>
  </si>
  <si>
    <t>Fri 14 December 1900
Arrangements were made for the removal of aboriginal chlldren from Colane
Camp to Brewarrlna.</t>
  </si>
  <si>
    <t>Mon 24th September 1900
On Saturday all the aboriginals from the blacks' camp at Wollar were brought into town. Those who have been confined were discharged from the Mudgee gaol. The whole party left by the night's train for the aboriginal station at Brewarrina. General satisfaction is felt at Wollar at this step being taken, as the blacks were regarded as a menace to the peace of the district.</t>
  </si>
  <si>
    <t>The Wollar Aborigines</t>
  </si>
  <si>
    <t>The Maitland Daily Mercury</t>
  </si>
  <si>
    <t>Sat 19th May 1900
The manager of the Brewarrina Aboriginal Station reported that there were thirty
seven aborigines on the station at the end of April.</t>
  </si>
  <si>
    <t>Aborigines' Board</t>
  </si>
  <si>
    <t>Fri 12th February 1897
The Angledool police informed the board that acting under its instructions they had arranged that the proposed visit to Sydney for exhibition purposes of a number of aboriginals from Bangate Station should not take place.</t>
  </si>
  <si>
    <t>Fri 29th May 1896
In response to an application it was resolved toprovide clothing for a number of destitute aborigines at Bangate Station</t>
  </si>
  <si>
    <t>Aborigines' Protection Board</t>
  </si>
  <si>
    <t>Gingie Station</t>
  </si>
  <si>
    <t>Murder</t>
  </si>
  <si>
    <t xml:space="preserve">Wed 1st September 1875 [Issue No. 35]
The deceased is believed to be identical with a man named John Caulfield, who
called at Bangate Station, on the Narran River, on the 30th July last, and proceeded down the river. Deceased is supposed to have been murdered by blacks. </t>
  </si>
  <si>
    <t>King Combo, of Angledool</t>
  </si>
  <si>
    <t>A King for Angledool</t>
  </si>
  <si>
    <t>Mon 3rd April 1899
The aboriginals of Angledool want a king. They are languishing after royalty and desire its presence among them as soon as possible. They have no local Warwicks, and so they have made their appeal through an M.L.A. to the Aborigines Board, who are king-makers-in-general for NewSouth Wales. The name of one Tommy Combo has been unanimously put forward as that of a person eminently suited for the regal dignity. On his behalf, and as a sort of recommendation, it has been stated that he never leaves the town. The board, however, does not wish to act rashly in such an important subject, and before they appoint Tommy Combo king over the blacks of Angledool, they require to have a report from the police on the prospects and resources of royalty in that district. If the report is favorable, and the local radicals raise no great opposition, Tommy, may be invested with the brass half-moon, emblem of latter-day aboriginal kingship.</t>
  </si>
  <si>
    <t>Aborigines Protection Board</t>
  </si>
  <si>
    <t>Fri 13th October 1899
The superintendent of police at Bourke submitted tenders for meat rations at Angledool, Culgoa, Pilliga, Colane, Goodooga, Walgett, and Tatalla aboriginal camps.</t>
  </si>
  <si>
    <t>Sat 10th November 1900
The police at Goodooga, Angledool, and Tatalla recommended the issue of clothing to 50 aborigines, at a cost of £21. 1 ..Approved.</t>
  </si>
  <si>
    <t xml:space="preserve">Fri 24th June 1898
Approval was given for the addition of meat to the rations issued to a number of aboriginals at Pilliga, Goodooga, and Angledool, who, from old age
and infirmity, were unable to hunt.
A report was received from the officer in charge of the police at Angledool regarding a letter addressed to the Under-Secretary by Mr. W. N. Willis, M.L.A., representing that the aboriginals at that place were suffering badly through the nonreceipt of the usual annual supply of blankets. The officer reported that 100 blankets were received by him on the 23rd of last month, and were distributed on the same day. </t>
  </si>
  <si>
    <t xml:space="preserve">Fri 31st July 1896
The Principal Under-Secretary forwarded a letter addressed to the Chief Secretary by Mr. Willis, M.L.A., urging that rations be supplied to the aborigines at Walgrett, Collarendabri, Goodooga, and Angledool. The secretary reported that the destitute aborigines at the places named had been receiving rations from the board for years past, and that during the first six months of the present year the sum of £160 had been expended for that purpose. It was decided to acquaint the Chief Secretary of the fact. </t>
  </si>
  <si>
    <t>Fri 24th April 1896
The supply of clothing to a number of old and infirm aboriginals at Goodooga, Angledool, Tatalla, and Megalong, and of rations to a numberat Piangabla station, near Collarendabri, and at Mungindi and Rooty Hill was approved.</t>
  </si>
  <si>
    <t xml:space="preserve">Fri 20th November 1896
Authority was granted for the purchase of clothing for a number of children attending school at Parkes and Cowra and for a number of old and infirm
aborigines at Goodooga, Tatalla, and AngledooL
</t>
  </si>
  <si>
    <t>Fri 24th June 1898
it was agreed that meat should be included in the rations issued to aborigines at Pilliga, Goodooga, and Angledool.</t>
  </si>
  <si>
    <t>Dumble Station</t>
  </si>
  <si>
    <t>Sat 22 October 1898
As an instance, all the blacks, some 10 or 12,around New Angledool who dared to vote for the Labor candidate have got the sack from stations on which they were reared, and, what's worse, have been told what it is for; of course, many whites have been served ditto under other pretences.</t>
  </si>
  <si>
    <t>Organising the Labour Leagues</t>
  </si>
  <si>
    <t>The Worker</t>
  </si>
  <si>
    <t>Fri 19th October 1900
At yesterday's meeting of the Aborigines Board a report was received from the police at Angledool stating that a person at that place had been recently fined £5 for supplying liquor to aborigines.</t>
  </si>
  <si>
    <t>Shipping. Arrivals.</t>
  </si>
  <si>
    <t>Attempt to spread the rabbit pest</t>
  </si>
  <si>
    <t>Sat 2 Jan 1886
 In April, 1883, the blacks said there was going to be a great drought, and they accordingly betook themselves off to a series of deep waterholes on the Culgoa River. That part of their prophesy has come too true. Lately they have returned, and commenced to build canoes, stating "Cobon water soon." It is to be hoped their prognostications are correct.</t>
  </si>
  <si>
    <t>Walgett.</t>
  </si>
  <si>
    <t>Wed 12th April 1882
A warrant has been issued by the Goodooga Bench for the arrest of Charlie, an aboriginal, charged with the murder of Joe, an aboriginal, at Angledool, near Goodooga, about 10 p.m., the 17th ultimo. Charlie is about 50 years of age, 5 feet 6 or 7 inches high, gray hair. Believed to have gone to Queensland in company with an old gin named Mary.</t>
  </si>
  <si>
    <t>Murder.</t>
  </si>
  <si>
    <t>Sat 2nd January 1886
After the programme had been prepared, and the first race was about to start, an objection was raised against black boys running with the white people. This, of course, caused a little delay, and with a view to settle matters amicably the programme was amended and the blacks had to run by themselves.</t>
  </si>
  <si>
    <t>Country News. Goodooga, January 1.</t>
  </si>
  <si>
    <t>The Globe</t>
  </si>
  <si>
    <t>Aborigines' Protection</t>
  </si>
  <si>
    <t>Sat 6th August 1898
A letter was received from Mr. T. W. Bacon, of Goodooga, urging the reconsideration by the board of their decision not to remove the aboriginals from the reserve now occupied by them at that place. It was directed that a reply be forwarded to the effect that unless a more suitable reserve could be obtained, the board would not be justified in disturbing the aboriginals from their present location.</t>
  </si>
  <si>
    <t>Fri 10th June 1898
The officer in charge of the police at Goodooga reported that about fifty aborigines now residing : on the reserve of 240 acres at that place, who wished to fence in the land, offered to supply the posts to erect the fences if the board would supply the necessary wire. The board directed that the aborigines be given, to understand, through the police, that -when the posts were ready in position the wire would be provided.</t>
  </si>
  <si>
    <t>Fri 16th July 1897
Tenders were accepted for the supply of rations to aborigines in camp at Cobar, Glen Innes, Walgett, Goodooga, and Pilliga.</t>
  </si>
  <si>
    <t>Fri 6th December 1895
The question of setting apart an area of land in the Goodooga district for the use of aborigines was considered, and it was decided to recommend to the
Minister for Lands that about 200 acres be so appropriated</t>
  </si>
  <si>
    <t>Wed 20th April 1898
A number of Queensland aboriginals are now camped at Goodooga, having
crossed the border. They are afraid that under the Queensland Aborigines'
Protection Act they will be taken to Frasers Island.</t>
  </si>
  <si>
    <t>Queensland Blacks. Afraid of an Act of Parliament</t>
  </si>
  <si>
    <t>Fri 11th December 1885
At our station Dumble, on the Bokaira and Biree Rivers, the whole of tbe males are busy constructing canoes, and as far as they can possibly do, are laying
in stocks of provisions. When asked what is meant by these preparations, they say, ' Big fellow flood come along directly, swim everywhere.' I see by telegraph that the blacks at Bourke are making similar preparations.</t>
  </si>
  <si>
    <t>Pastoral. Wool, Weather, Stock Movements</t>
  </si>
  <si>
    <t>Shearers' Strike</t>
  </si>
  <si>
    <t>The Albury Banner and Wodonga Express</t>
  </si>
  <si>
    <t>Gnomery Station</t>
  </si>
  <si>
    <t>Sat 30 July 1892
Weilmoringle station, Bourke, called the roll on the 15th inst., but refused
to give 30s a week to the shed hands, so was unable to make a start until the 20th, by which time the boss had gathered together enough of the Toulby blacks to give him a start, the station jackeroos acting as wool rollers.</t>
  </si>
  <si>
    <t>Shearing Times</t>
  </si>
  <si>
    <t>The Hummer</t>
  </si>
  <si>
    <t>Sat 27 October 1894
There are also a few aboriginals camped here who were engaged to do the shed work, but refused to work under the P.U. terms. They consider themselves
union men, and will not work with scabs.</t>
  </si>
  <si>
    <t>Shearing notes</t>
  </si>
  <si>
    <t>Wed 5th April 1893
I have put a trapper on Toulby, also one on Brenda. I may mention that on
Molten Plains. which borders 20 miles of our southern boundary where the western fence strikes off, that rabbits are being killed at the rate of 600 per week, six blacks being employed in destruction with dogs and all other means except poison.</t>
  </si>
  <si>
    <t>Brenda Station</t>
  </si>
  <si>
    <t>Rabbits on the Maranoa</t>
  </si>
  <si>
    <t>Western Star</t>
  </si>
  <si>
    <t>In the Bush</t>
  </si>
  <si>
    <t>The Floods. The situation at Bourke</t>
  </si>
  <si>
    <t>The Queensland Times</t>
  </si>
  <si>
    <t xml:space="preserve">Mon 15th April 1889
 I gathered, in conjunction with Mr. Taplin, close on 90 aborigines— men, women, and children—travelling scores of miles on foot on the Barwon, Cabo, Culgoa, Bree, and Bokhara Rivers, in order to congregate the blacks on the
reserve at Quantambone. </t>
  </si>
  <si>
    <t>Gribble</t>
  </si>
  <si>
    <t>John B.</t>
  </si>
  <si>
    <t>Sat 17 September 1881
Senior Constable Steele, of Brewarrina, arrested him [Watty Watty]  on
Quantambone Station on the opposite side of the river from Brewarrina</t>
  </si>
  <si>
    <t>Bourke.</t>
  </si>
  <si>
    <t>Western Division. Land District of Brewarrina</t>
  </si>
  <si>
    <t>Sat 5th March 1887
Within the resumed area of Quantambone Holding No. 44, notified 11th July, 1885.
The above was reserved from sale for the use of Aborigines, 17th June, 1885.</t>
  </si>
  <si>
    <t>Fri 25th May 1888
On Monday afternoon last, between 5 and 6 o'clock (says the Brewarrina Express), Brewarrina was thrown into a state of excitement in consequence of a
report that Percy, aged about three years, son of Mr. Robins, the local postmaster, had strayed from home and could not be found...
The services of the blacks camped on the river were enlisted...</t>
  </si>
  <si>
    <t>Another Legal Let-Off</t>
  </si>
  <si>
    <t>The Armidale Express</t>
  </si>
  <si>
    <t>Wed 13 November 1878
The horse No. 45 in this week’s list, and a saddle and bridle, the property of William Fraser, Quantambone Station, have been recovered. Tommy Watty, an aboriginal, charged on warrant with stealing the above is supposed to have been killed by the Blacks on the Warrego River.</t>
  </si>
  <si>
    <t xml:space="preserve">Horse and Cattle. Vide Police Gazette, 1878, pages 379-381
</t>
  </si>
  <si>
    <t>The Blacks on the Barwin</t>
  </si>
  <si>
    <t>The Barwan</t>
  </si>
  <si>
    <t>The Hunter River Gazette</t>
  </si>
  <si>
    <t>Thurs 26th November 1863
A little black boy that was minding some cattle was caught in it [hail storm], and had his head cut in several places. When he came home he was covered with blood, and from the severe  knocks he received he scarcely knew where he was. The poor little  fellow is fast recovering.</t>
  </si>
  <si>
    <t>Barwan River</t>
  </si>
  <si>
    <t>Namoi and Barwin</t>
  </si>
  <si>
    <t>Tues 12th September 1843
INTELLIGENCE has been received in town during the week of a serious affray between the squatters and the blacks on the Barwin River, which has been attended with a most melancholy loss of life.</t>
  </si>
  <si>
    <t>Floods on the Lower Barwin</t>
  </si>
  <si>
    <t>Wed 1 March 1843
It is their [Aboriginals] intention to kill or drive all the whites with
their cattle from the Mooney and Barwin.</t>
  </si>
  <si>
    <t>The Mooney and Barwin Rivers</t>
  </si>
  <si>
    <t>Doyle</t>
  </si>
  <si>
    <t>B.</t>
  </si>
  <si>
    <t>The Australian</t>
  </si>
  <si>
    <t>The Barwon Mission</t>
  </si>
  <si>
    <t>Depredations by Aborigines</t>
  </si>
  <si>
    <t>The North Australian, Ipswich</t>
  </si>
  <si>
    <t>The Aborigines of Australia</t>
  </si>
  <si>
    <t>The Empire</t>
  </si>
  <si>
    <t xml:space="preserve"> Aborigines' Protection Association</t>
  </si>
  <si>
    <t>Goulburn Evening Penny Post</t>
  </si>
  <si>
    <t>Fri 17 Jan 1890
Mr. Taplin told of a whole camp of blacks, on the Barwon, New South Wales, having been poisoned by the people of an adjacent sheepstation.</t>
  </si>
  <si>
    <t>Treatment of the Aborigines</t>
  </si>
  <si>
    <t xml:space="preserve">Tues 10th December 1889
Thus at the mission near Brewarrina, on the Barwon, I had natives from Mogil Mogil, further up the river; from Louth, down stream; from Dubbo, at the foot of the Blue Mountains; and from Hungerford, on the Queensland Border, representing a radius of somewhere about 200 miles, and these natives had come to reside in the district quite voluntarily. </t>
  </si>
  <si>
    <t>The Aborigines</t>
  </si>
  <si>
    <t>Taplin</t>
  </si>
  <si>
    <t>C. E.</t>
  </si>
  <si>
    <t>The South Australian Register</t>
  </si>
  <si>
    <t>The Evening Journal</t>
  </si>
  <si>
    <t>Tues 19th November 1889
To give an instance, during my recent work. among the blacks on the Barwon or Upper Darling in New South Wales, a resident in the district one day speaking of that work expressed surprise that I did not consider it necessary to always carry a revolver, adding, " There is one man you have on that mission whom I would not meet alone in the bush for a thousand pounds unless well armed ." Further enquiry elicited the fact that the man he referred to had attempted to take the lives of no less than three white men. But for what reason ? This poor fellow, whom I found one of my most valuable helpers in the work of establishing the station had a wife of whom he was exceptionally proud and fond. It was in resenting the attempts on her virtue that he had obtained the sobriquet of "Murdering Mick."</t>
  </si>
  <si>
    <t>Treatment of the Blacks</t>
  </si>
  <si>
    <t>The Maryborough Chronicle</t>
  </si>
  <si>
    <t>Tues 9 May 1876
When, however, these monsters "had their cattle together" they would collect themselves for the purpose of "a bit of sport," which meant going on the trail of
the aboriginals. "Hospital Creek," opposite Breewarrina, "The Point," between Yambegoona and the same place, and Warraweena Billywung might, if they could speak, tell of deeds unparalleled even in the Book of Books. We are now speaking of the years from 1840-1858.</t>
  </si>
  <si>
    <t>The Contributor. The Aborigines of Australia - their habits and customs</t>
  </si>
  <si>
    <t>Bennett</t>
  </si>
  <si>
    <t>Richard</t>
  </si>
  <si>
    <t>The Leader</t>
  </si>
  <si>
    <t>Shearing Notes</t>
  </si>
  <si>
    <t>Sat 5 August 1893
A small strike is reported from Gnomery Station, near Goodooga. A few of the men objected to shear owing to a "gin" being put to work on the shearing board. By the way, is this not a case for investigation by the Aborigines Protection Board ?</t>
  </si>
  <si>
    <t>Miscellaneous Information</t>
  </si>
  <si>
    <t>Wed 4th August 1886
Tatala.—On the 29th June last, the body of a man, name unknown, was found in the bush on the Gnomery Run, near Tatala, by an aboriginal named Cubby</t>
  </si>
  <si>
    <t>The Emporer's Carp</t>
  </si>
  <si>
    <t>source_document_quote</t>
  </si>
  <si>
    <t>Quote taken  from source_document that references a place_name</t>
  </si>
  <si>
    <t>A place where ochre was quarried</t>
  </si>
  <si>
    <t>A place where the procurement of food was noted as occurring</t>
  </si>
  <si>
    <t>A community of Aboriginal people residing on a pastoral property</t>
  </si>
  <si>
    <t>Wilkie Plains Station</t>
  </si>
  <si>
    <t xml:space="preserve">Tues 21st Oct 1879
Three aboriginals will be arraigned these sessions, for separate offences, " Billy Cubbie" for horse stealing ; " Jacky Bundah" for robbery from the person, and "Cubbie" for sheep stealing.
</t>
  </si>
  <si>
    <t>Wed 30th July 1875
The mare No. 4 in this week’s list, the property of John Carew, Yarrawin, Marra Creek, is supposed to have been stolen, by Charley, a Queensland Aboriginal. He is about 23 years of age 5 feet 6 inches high, stout build, large bushy whiskers, rather good looking; dressed in moleskin trousers, light tweed coat, and light felt hat. Supposed to have gone up the Barwin. No warrant issued.</t>
  </si>
  <si>
    <t xml:space="preserve">Horses and Cattle
</t>
  </si>
  <si>
    <t>Yarrawin Station</t>
  </si>
  <si>
    <t>Mon 11 April 1864
A black-fellow reached Gongolgon yeserday, from Bre station, on the Barwin ;
the station belongs to the Messrs Parnell. He informed me that they were all
camped in the bush, about ten miles from the Bogan, and that the water was
nearly up to the wall plates of the house they generally reside in.</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</si>
  <si>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</si>
  <si>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</si>
  <si>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</si>
  <si>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</si>
  <si>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</si>
  <si>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</si>
  <si>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</si>
  <si>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</si>
  <si>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</si>
  <si>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</si>
  <si>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</si>
  <si>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</si>
  <si>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</si>
  <si>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</si>
  <si>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</si>
  <si>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</si>
  <si>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</si>
  <si>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</si>
  <si>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</si>
  <si>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</si>
  <si>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</si>
  <si>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</si>
  <si>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</si>
  <si>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</si>
  <si>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</si>
  <si>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</si>
  <si>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</si>
  <si>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</si>
  <si>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</si>
  <si>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</si>
  <si>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</si>
  <si>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</si>
  <si>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</si>
  <si>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</si>
  <si>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</si>
  <si>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</si>
  <si>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</si>
  <si>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</si>
  <si>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</si>
  <si>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</si>
  <si>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</si>
  <si>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</si>
  <si>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</si>
  <si>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</si>
  <si>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</si>
  <si>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</si>
  <si>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</si>
  <si>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</si>
  <si>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</si>
  <si>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</si>
  <si>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</si>
  <si>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</si>
  <si>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</si>
  <si>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</si>
  <si>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</si>
  <si>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</si>
  <si>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</si>
  <si>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</si>
  <si>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</si>
  <si>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</si>
  <si>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</si>
  <si>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</si>
  <si>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</si>
  <si>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</si>
  <si>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</si>
  <si>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</si>
  <si>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</si>
  <si>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</si>
  <si>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</si>
  <si>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</si>
  <si>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</si>
  <si>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</si>
  <si>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</si>
  <si>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</si>
  <si>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</si>
  <si>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</si>
  <si>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</si>
  <si>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</si>
  <si>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</si>
  <si>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</si>
  <si>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</si>
  <si>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</si>
  <si>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</si>
  <si>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</si>
  <si>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</si>
  <si>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</si>
  <si>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</si>
  <si>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</si>
  <si>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</si>
  <si>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</si>
  <si>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</si>
  <si>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</si>
  <si>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</si>
  <si>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302</t>
  </si>
  <si>
    <t>303</t>
  </si>
  <si>
    <t>304</t>
  </si>
  <si>
    <t>305</t>
  </si>
  <si>
    <t>306</t>
  </si>
  <si>
    <t>published_in</t>
  </si>
  <si>
    <t>The Sketcher</t>
  </si>
  <si>
    <t>Colonial Fragments by E.K.V. Up the Culgoa, 1861</t>
  </si>
  <si>
    <t>Our Diary - No. IX</t>
  </si>
  <si>
    <t>The Australian Town and Country Journal</t>
  </si>
  <si>
    <t>The Charters Towers Daily Herald</t>
  </si>
  <si>
    <t>The Christian Colonist</t>
  </si>
  <si>
    <t>Dubbo Dispatch and Wellington Independent</t>
  </si>
  <si>
    <t>The Geelong Advertiser</t>
  </si>
  <si>
    <t>The Gilgandra Weekly</t>
  </si>
  <si>
    <t>Thurs 4th May 1893
They had three stations-one on the Murray called Cumeroogunja, where there was a reserve of 2200 acres; one on the Murrumbidgee River called Warangesda, with a reserve of about 2000 acres; and one on the Barwon River called Brewarrinna, with a reserve of 4500 acres. At each of these places there were  farms worked by their
people.</t>
  </si>
  <si>
    <t>The Goulburn Herald</t>
  </si>
  <si>
    <t>The Mudgee Guardian</t>
  </si>
  <si>
    <t>Tues 20 June 1972
An old Aboriginal man from the Community at Wielmoringle, north of Brewarrina, also told me of skeletons from another massacre at Urie Point, north of HospitalCreek,on another riverbed, and of skeletons that are exposed when the waters come down.</t>
  </si>
  <si>
    <t>The Western Star</t>
  </si>
  <si>
    <t>The Windsor and Richmond Gazette</t>
  </si>
  <si>
    <t>Thurs 26 January 1950
...employed by the owners of "Quantambone" Station. One day, he mysteriously disappeared, leaving behind no trace or indication of why, or how. Immediately, however, it was suspected he had been killed and his body taken away by a wandering tribe of aborigines who were known to be in the locality...Shortly after sundown, the troopers, who had been joined by a number of residents from Brewarrina and the surrounding holdings, came upon a fairly large tribe of black camped on the banks of Hospital Creek, at a spot where the whitewoods grew.</t>
  </si>
  <si>
    <t>Wed 19th April 1865
Sergeant Cleary, Constable Byrne, and a black tracker, traced the offenders to Narran Lake, about two hundred miles from Bourke, and succeeded in finding Ward's camp in a dense scrub, about a quarter of a mile from the lake. Ward’s half-caste woman and two children were found in the camp, also, the whole of the stolen property described, and 4 horses.</t>
  </si>
  <si>
    <t>Mon 28th August 1911
…succumbed in the local hospital to pneumonia. Deceased was supposed to have been one of the survivors of the Hospital Creek massacre, which occurred some 52 years ago about 13 miles from Brewarrina.</t>
  </si>
  <si>
    <t>Tues 24th October 1911
The blackfellow, Peter Flood, who died at Brewarrina, N.S.W., recently from pneumonia, was a full-blooded aboriginal, and was eighty-two years, of age. He was one of the survivors of the famous Hospital Creek massacre, which occurred fifty-two years ago.</t>
  </si>
  <si>
    <t>Sat 16th December 1950
In those days, on the route from Walgett to the Queensland border, you came upon a Community they had named Old Angledool, on the Narran River. A mile farther east you struck New Angledool journey's end. Here "King Combo," chief of the Noongaburrah tribe, held sway over the aboriginal Community.</t>
  </si>
  <si>
    <t>Thurs 22nd September 1881
Travelling onwards,and calling at many stations, we fall in with straggling parties of aborigines ; we see herds of cattle in first-rate order. Passing over an extensive area of country covered with barley-grass, eighteen inches high, and green as a leak, we strike the Narran River; we cross and camp at a large station— the boss and his super (bachelors) kindly invite us in ; we observed many blacks hereabouts, and we were particularly struck by the fact, the juvenile members of the tribe were much lighter in colour than their elder brethren.</t>
  </si>
  <si>
    <t>This ranking scheme is based on how precise the place_name coordinates are deemed to be.</t>
  </si>
  <si>
    <t>theme_code</t>
  </si>
  <si>
    <t>theme</t>
  </si>
  <si>
    <t>theme Definition</t>
  </si>
  <si>
    <t>Thurs 17 August 1911
Peter Flood, one of the oldest full-blooded aborigines of the Darling country, died at 80 years of ago in Brewarrina Hospital yesterday. He was the last of the survivors of Hospital Creek massacre, and one of those who met the Burke and Wills expedition at the crossing of the Darling.</t>
  </si>
  <si>
    <t>…in 1862 a Bora was held on Eurie Eurie run, on the Barwon River.</t>
  </si>
  <si>
    <t>An account of a Bora held between the Lower Castlereagh and Barwon Rivers in 1862…is given by Rev. W Ridley in his work, Kamilario and Other Australian Languages, pp. 154, 155.</t>
  </si>
  <si>
    <t>...took them away about six miles to place called Mungaroo.</t>
  </si>
  <si>
    <t>It is told that on one of his walkabouts Baiame stepped from Cobar to Gundabooka, which is sacred place of the river people; to Byrock, where the mark of his foot was left on a stone, and then to Brewarrina.</t>
  </si>
  <si>
    <t>Dame Mary Gilmore in 'Old Days, Old Ways' noted '…two of my uncles said they witnessed what they reckoned were five thousand blacks assembled (at Brewarrina), and people who were older said that before the massacres began there were even larger gatherings. The tribal groupings and family camps extended along the tributaries of the main stream for miles, but each group was placed within Low precision reach of all the others'.</t>
  </si>
  <si>
    <t>A population of approximately 300 Aborigines lived at the Fishery…With the appointment of Sergeant Steele in 1878, there were instructed to move to the opposite bank…</t>
  </si>
  <si>
    <t>…in 1885, a reserve was gazetted on the North Bank for the Barwon adjacent to the Fisheries.</t>
  </si>
  <si>
    <t>In the following year [1886] a mission 10 miles (16.09km) from town on a reserve of 5,000 acres (2,023.5 ha) was commenced with construction of a manager's residence and huts of sun drued bricks and cane grass roofs.</t>
  </si>
  <si>
    <t>So the Callewatta was formed and can still be traced from Brewarrina to the sea.</t>
  </si>
  <si>
    <t>There were stone fish traps near 'Collewarry' and another 40km above Brewarrina but these have now disappeared.</t>
  </si>
  <si>
    <t>A legend of this Big Dry tells of the people camped on one of the remaining waterholes, named Geerah, halfway between Brewarrina and Walgett. Lining the waterhole were giant gums and in the tallest was the nest of Mullian, the eagle.</t>
  </si>
  <si>
    <t>...Baiame dug after  it, cutting a channel that filled behind him with the escaping water from Gurrungga.</t>
  </si>
  <si>
    <t>First the boulders, then higher to a man's thigh with smaller stones, until the stone mesh stretched down the slope of the wall of Gurrungga and across the dry water course.</t>
  </si>
  <si>
    <t>Kerrigan recorded: 'The wild blacks were that bad that all the cattlemen had to deal with them…[Apparently a stockman was lost and fearing that he had been killed by the blacks a strong search party, from a wide area, was made up. The party came across the tribe moving up the Bokhara and along a dry watercourse to Lake Narran. The search of a dilly bag found a hand, carrying of which was common practice; whether it was the stockman's is unsure; or if he was later found - is uncertain]... so they rounded them up like cattle, old and yound, on the Quantambone Plain and shot them, there was about 400, and that is how Hospital Creek got its name. There were only two piccaninnies left, a boy and a girl, the boy they took to Milroy and he was still there when I went there in 1881 and I think that the girl was there too'.</t>
  </si>
  <si>
    <t>In the Barwon River there is a deep hole, The Five Mile, known to the Ngemba as Mirrigunna. Very few peope swim or fish there, and certainly, nobody remains after sunset even though the fish are biting. It is said that people will get sick if they stay too long at Mirragunna...The late Mrs. Doreen Wright has told of one incident - 'Well, old Captain White of the paddle boat the Wandering Jew, he used to do this river a lot. He got stuck right in the middle of MIrrigunna, the deep waterhole. The boat couldn't move. There was a sort of power holding it fast. There was an old King on board, one of the natives from here, King Clyde. He dived overboard and swam underneath the boat. He made the boat free. He reckoned it was Warwai, that's a big snake in the river, that had hold of the boat. It was only a clever old man like him who could let that snake let go'.</t>
  </si>
  <si>
    <t>In many cases the stockmen, not heeding the Governor's warning, took Aboriginal women and forced them to live with them. This is what happened at 'Walcha Hut' on the Lawson's run [Moheni], and even though warned by the Aborigines to release the women, the stockmen refused. The laws of the tribe were strict; both were killed and the bodies mutilated before the hut and yards were fired. Several cattle were speared and one was roasted in a victory feast. The smoke attracted stockmen, who charged and drove the mob towards the Barwon River where they were shot. It has been reported that 30 men, women and children were shot and that skulls showing ball marks were visible for years after in the area.</t>
  </si>
  <si>
    <t>…but little research has been carried out in the area of Lake Narran which, according to legend, also owes it's origin to Baiame. It is told that his two wives were eaten as they bathed in a spring by two Kurrias (crocodiles) who swallowed up the waters of the spring, and of the Narran, as they retreated down the river, where Baiame speared them.</t>
  </si>
  <si>
    <t>It was Baiame's wish that Ngunnhu be a common camp for his people; a meeting place where all could partake and contribute towards the preservation of the fish and fisheries. The boundaries of the Ualari, Weilwan, Baranbindja and Morowai all converged near Brewarrina and each tribe was allocated specified areas of Ngunnhu.</t>
  </si>
  <si>
    <t>The large rocks within the area of the Ngunnhu were of significance to the Ngemba who named them as shown on the plan. On the rock shelf adjacent to Muar, are grinding places worn by the grinding and sharpening of stone implements. Closer to the water are a series of bowl shaped holes each lower than the other, obviously rounded and smoothed by hand, as stone pieces were swirled about in them.</t>
  </si>
  <si>
    <t xml:space="preserve">Dirangibirrah is between Brewarrina and Widda Murtee, and there the dayoorls piled themselves up into a mountain...
</t>
  </si>
  <si>
    <t xml:space="preserve">On swiftly sped Byamee, making short cuts from big hole to big hole, and his track is still marked by the morilla ridges that stretch down the Narran, pointing in towards the deep holes.
</t>
  </si>
  <si>
    <t>Soon will the black swans find their way here, the pelicans and the ducks; where there was dry land and stones in the past, in the future there will be water and water-fowl, from henceforth; when the Narran runs it will run into this hole, and by the spreading of its waters will a big lake be made. And what Byamee said has come to pass, as the Narran Lake shows, with its large sheet of water, spreading for miles, the home of thousands of wild fowl.</t>
  </si>
  <si>
    <t>Jimmie Barker knew of several large granite grinding stones used for the sharpening of axes that were located on a ridge between Barwon Bridge and Brewarrina Mission (Barker &amp; Mathews 1997: 79).</t>
  </si>
  <si>
    <t>They include killings at the Butcher’s Tree, three miles (five kilometres) from Brewarrina Mission; killings on the northern bank of the Barwon about four miles (six kilometres) above the fisheries; and numerous other attacks ‘along the Barwon and Narran Rivers as far away as Walgett’.</t>
  </si>
  <si>
    <t>Canoes or mungar were cut from tree trunks and sealed with natural gums or resins. A small number of tree trunks along the Callewatta and its tributaries (usually River Red Gum or Eucalyptus camaldulensis) bear scars where canoes were cut.</t>
  </si>
  <si>
    <t>Around 40 kms east-northeast of Bourke is the confluence of the Culgoa, Barwon and Bogan Rivers (Figure 5-8)
Table 5-1 - Ceremony place, Barabinya, Murrawarri, Nyemba People meet there</t>
  </si>
  <si>
    <t>The Culgoa River sand hills on Culgoa Downs were recognised by Muruwari as an Aboriginal burial ground. Burials at this place continued into the early 20th century.</t>
  </si>
  <si>
    <t>Carved trees often designated the place of a nearby burial place of an important man. Jimmie Barker recalled that there were many marked trees at the bora grounds near Cumborah as well as others around the Culgoa River (Barker &amp; Mathews 1997: 132).</t>
  </si>
  <si>
    <t>One of the more brutal attacks occurred at Quantambone Station, 18-20kms north of Brewarrina. The place became known as Hospital Creek due to the large number of people killed.</t>
  </si>
  <si>
    <t>The people of the lower Culgoa River, known as the Nandugari, occupied an area extended from about 40 miles (64.37 kilometres) above Brewarrina down the Culgoa River to its junction with the Darling River, then extended down the Darling to North Bourke...This small group lived near the Barwon River near its junction with the Culgoa River (Barker &amp; Mathews 1977: 27–8).</t>
  </si>
  <si>
    <t>the Dinigada group centred on Ledknapper Tank extending north to Boneda.</t>
  </si>
  <si>
    <t>Only two small children, a girl and a boy were reported to have escaped the carnage and were later taken to Milroy Station, a large pastoral property. A number of recollections by white settlers are some of few records of the event that survive. In the 1970s skeletal material with bullet holes could still be found after rain had disturbed the soil (Kamien 1978: 15)</t>
  </si>
  <si>
    <t>Other grinding stones quarried from pits on Yambacoona (also known as Mount Druid), 30 kms from Brewarrina, were apparently of inferior quality and could be extracted by anyone visiting the area (Benwell 2002: 2).</t>
  </si>
  <si>
    <t>Following the Darling River from the Murray-River junction and continuing to Brewarrina, there was a good supply of kopi (gypsum). This was recognised as the most important material for those who were in mourning. On burial grounds or graves in this area a number of objects have been found and classified as mourning emblems.</t>
  </si>
  <si>
    <t>By 1848 all the land along the Barwon-Namoi rivers was taken by pastoralists but even after initial subjugation, Aborigines presented a constant threat to pastoral expansion.</t>
  </si>
  <si>
    <t>Aborigines believe that Guli Gurinai, our water spirit, lives in a water hole in the Barwon river near Gingie Mission. During the big drought Guli Gurinai created the waterways on our routes from Gingie through Cumborah and to Narran Lakes where Aborigines met other tribes regularly for trades and religious purposes.</t>
  </si>
  <si>
    <t>Gingie Reserve was established in 1895. The manager and the teacher took care of its running. Mission people were expected to find work on the land but they were to stay out of town.</t>
  </si>
  <si>
    <t>My father worked at Lanilo station near Camborah as a station hand and boundary rider looking after stock.</t>
  </si>
  <si>
    <t>They lived at Red Hill which was the highest point at Gingie Reserve.</t>
  </si>
  <si>
    <t>…[Sturt] also mentioned about 70 permanent huts at Brewarrina, each capable of holding a dozen or more people, although this does not mean that they were occupied all the time.</t>
  </si>
  <si>
    <t>Water was also to be obtained  at a distance of only seven miles beyond the Barwan  there at the "Morella Ridges,” to which the natives  were in the habit of resorting at certain seasons, by  a path of their own, to gather a fruit of which they  were very fond, named by them "Moguile,” and  which I had previously ascertained to be that  formerly discovered by me, and named by Dr Lindley Capparis Mitchellii</t>
  </si>
  <si>
    <t>Early this morning the stockman  brought over two natives, brothers, who were to  guide us to water ten miles on towards the Narran,  which was said to be thirty-five miles off.</t>
  </si>
  <si>
    <t>Further on, hills were visible to the left, which our  native guides called Goodeingora.</t>
  </si>
  <si>
    <t>At six miles,  other slight elevations appeared to the N. E. which  the natives called Toolowly, a name well calculated to  fix in white men’s memory elevations too low to be  called hills.</t>
  </si>
  <si>
    <t>The ponds were called  "Carawy” and were vitally  important to us, enabling us to pass on towards the  Narran, which was still, as we had been informed,  twenty-five miles off.</t>
  </si>
  <si>
    <t>As we approached these  springs, I saw some natives running off, and I sent  one of the guides after them to say we should do them  no harm, and beg them to stop, but he could not  overtake them.</t>
  </si>
  <si>
    <t>This, they said, was the  “ Narran,” but to the vast swampy plain they gave  the name of Keegurodyin, a name quite useless for  white men’s memories or maps.</t>
  </si>
  <si>
    <t>We had followed  well-beaten paths of natives during the whole of this  day’s ride, and most anxious were my guides and I  to see them ; but they avoided us.</t>
  </si>
  <si>
    <t>Our guide was  of that country, and not at all unwilling or timid;  but evidently very desirous to introduce us to the  inhabitants, and procure amongst them other guides  to lead us further.</t>
  </si>
  <si>
    <t>All the drays came in early. I  gave to the two natives, the tomahawks, tobacco, and  pipes, as promised ; also a note to the stockman on  the Barwan, who had provided me with them, saying  that they had been very useful.</t>
  </si>
  <si>
    <t>Here the poor natives had been very industrious, as was evident from heaps of the grass  Panicum laevinode, and of the same red-stalked coral- like plant, also mentioned as having been observed in  similar heaps, on the banks of the Darling, during  my journey of 1835 (vol. i. p. 238).</t>
  </si>
  <si>
    <t>The human inhabitants were few, and as invisible  as other animals in these forests—the prints of  whose feet were also plain in the soft smooth surface.</t>
  </si>
  <si>
    <t>I crossed a native camp  where the newly deserted fires still smoked. "We saw  one man at a distance, who did not mind us much;…</t>
  </si>
  <si>
    <t>Crossing the  Narran there, by a beaten track, beside a native  fishing fence…</t>
  </si>
  <si>
    <t>The natives  seen yesterday had disappeared, having previously  set fire to the grass.</t>
  </si>
  <si>
    <t>A small path along the river margin; marks on  trees, where hollow portions of bark had been taken  off; some ancient, some recent, huts of withered  boughs and dry grass; freshwater muscle shells,  beside the ashes of small fires; and, in some places,  a small heap of pulled grass (Panicum laevinode),  or of the coral plant; such were the slight but  constant indications of the existence of man on the  Narran.</t>
  </si>
  <si>
    <t>Ducks, which were rather numerous, and emus (coming to drink), probably constituted their chief food, as nets to ensnare both  these kinds of birds, were found about their huts.</t>
  </si>
  <si>
    <t>Youranigh brought me one of their chisels, a small  bit of iron fastened to a stick with gum, and tied  with a piece of striped shirting.</t>
  </si>
  <si>
    <t>Abundance of the stones of  the quandang fruit (Fiisanus acuminatus) lay at an  old fire of the natives, and showed that we were not  far from the northern limit of the great clay basin,  as the quandang bush grows only upon the lowest  slopes of hilly land.</t>
  </si>
  <si>
    <t>At the  spot where I wished to place the camp I perceived  a native, and with Youranigh’s assistance, managed  to prevent him from running away. He spoke only  “ Jerwoolleroy,” a dialect which my native did not  understand at all well.</t>
  </si>
  <si>
    <t>We  had crossed several such, and were rather in a  "fix”  with some lagoons, when I perceived several native  children in one of them.</t>
  </si>
  <si>
    <t>This was by a splendid  piece of water, named by them Tooningora, nearly  on a level with the adjacent plains, and covered with  ducks.</t>
  </si>
  <si>
    <t>...we saw five gins running off at a great distance  across some open plains, apparently near the river.  The eldest of our guides ran after them, and I requested him to assure them that the white men would  do no harm, and to tell them not to run away. At  length he overtook them. Two appeared to carry  unseemly loads across their backs, dangling under  large opossum-skin cloaks, and it was evident that  these were mummied bodies.</t>
  </si>
  <si>
    <t>...the shout or scream of little Dicky, a native  child of the Bogan, follower of my camp, first drew  my attention to a black phalanx within the forest, of  natives presenting a front like a battalion.</t>
  </si>
  <si>
    <t>I saw  seated at a distance, in due form, the tribe to which  they belonged ; and having directed the party to halt,  went up to them. They were seated in three groups;  old men on the right, painted red; old women in  the centre, painted white; and other women and children on the left. The few strong men who  appeared, formed a circle around me, and told me their names as they came up to me.</t>
  </si>
  <si>
    <t>This I ascertained  was called the Cawan by the natives, and that it  meandered very much.</t>
  </si>
  <si>
    <t>On arriving at the “ Cawan ” we saw two natives fishing in a pond with hoop nets, and Yuranigh went  to ask them about the Culgoa.</t>
  </si>
  <si>
    <t>He took us to the Culgoa, which we made at about  seven miles from the Balonne</t>
  </si>
  <si>
    <t>Mention has also been made of a massacre site near present day Angledool. This massacre has not been recorded, but knowledge of the event has been passed on through oral  tradition</t>
  </si>
  <si>
    <t>This message-stick was sent from Goodooga, on the Bokhara river, by a black fellow named Kubbi Iguana to his friend Yarri, Murri Iguana, residing at Angledool, on the Narran river, inviting the latter to bring his tribe to Goodooga to a corroboree which was shortly to take place.</t>
  </si>
  <si>
    <t>This drawing represents both sides of a message-stick made at Coomburrah by a native named Taballah, Murri Iguana, one of the head-men of the Cudnappa River who was at Coomburrah visiting the blacks there. Kunbitalah conveyed the stick to Angledool, and delivered it, with the oral message, to Enutbeakah Iguana, one of the head-men of the Currawillinghi tribe. Coomburrah is about 80 miles from Angledool.</t>
  </si>
  <si>
    <t>Imball further explained to Belay the devices on the stick as follows, which will be better understood  by referring to plate vI: Nanee (a) sent the message from the Bokhara river (b), by the hand of Imball (c), via the Birie (d), the Culgoa…</t>
  </si>
  <si>
    <t>This is a message from Nanee, Kumbo Kangaroo, a head-man of the Culgoa tribe, to Belay, Kubbi Iguana, one of the head-men of the Tinanburra tribe. Nanee handed the stick to a black fellow named Imball, Kubbi Iguana, at Goodooga, on the Bokhara river, New South Wales, who conveyed it to Belay at Tinanburra, on the Cuttaburra river, Queensland, the distance between the two places being about 100m</t>
  </si>
  <si>
    <t>This stick was made by Belay and Kunganooay, two brothers, of the Kubbi class and Iguana totem, both of whom are chief men of the Tinanburra tribe, and was dispatched to Nanee, Kumbo Kangaroo, one of the head-men of the Culgoa tribe, residing at Goodooga. The makers of the stick gave it, together with a verbal message, to a black fellow whose name I did not learn, who brought it from Tinanburra to Toulby, a distance of about 60 miles, where he handed it over to Kubbi Iguana, a man of the Culgoa tribe. Kubbi brought it to Tatalla, on the Culgoa river, about ten miles from Toulby, where he met "George," a half-caste, a Kubbi Padamelon, who is a "tracker" attached to the Goodooga police station and who was then at Tatalla on official duty. Kubbi handed the stick to George, who brought it to Goodooga and gave it to Nanee...</t>
  </si>
  <si>
    <t>These drawings represent both sides of a stick sent by Nanee (a), one of the head-men of the Culgoa tribe, to Boomee, Murri Opossum (b), one of the head-men of the Cuttaburra tribe. It was dispatched from Goodooga, on the Bokhara river, to Brewarra, on the Cuttaburra river, both places being in New South Wales. Kubbi (c), one of the head-men of the Culgoa tribe, carried it from Goodooga to Tatalla, on the Culgoa river, where he handed it over to Noondooayah, Murri Opossum (d), one of the Cuttaburra tribe, but not a head-man, who was then at Tatalla on a visit to the Culgoa tribe. Noondooayah then carried the stick from Tatalla to Brewarra and handed it to Boomee...</t>
  </si>
  <si>
    <t>...old Beereeun goes to meet a tribe coming from Springs country. While he is away we will go towards the Big River, and burn the track behind us.</t>
  </si>
  <si>
    <t>There were a couple of  survivors who hid in the reeds and escaped to the west during the  night ... many isolated groups of natives were killed on the banks  of the river where they usually camped. Skeletons can be found at  most of the bends of the Barwon River. (Barker, 1972, pp. 124-125)</t>
  </si>
  <si>
    <t>there was another occurrence, on the northern bank of the Barwon about 4 miles above the Fisheries (Brewarrina) ... a lot of natives were killed without warning.(Barker, 1972, pp. 124-125)</t>
  </si>
  <si>
    <t>Isabel McBryde reported a quartzite quarry with axe grinding grooves and stone arrangements at Brewarrina (McBryde 1972, p.118).</t>
  </si>
  <si>
    <t>The Clearwater Lake Midden 1 was visible because of its large size and ashy colour but it was made doubly obvious by the loading ramp excavations which exposed the shells.</t>
  </si>
  <si>
    <t>[Clearwater Lake Midden 2]...This place is eroding badly and is surrounded on both sides by a scatter of stone artifacts which have eroded from the midden. The top is vegetated in parts but has become exposed in others and cattle are damaging it.</t>
  </si>
  <si>
    <t>…[Fish trap] one at Collywarry on the Barwon about 50 kilometres above Brewarrina…</t>
  </si>
  <si>
    <t>A gullied area between the banks and a hill behind showed large core tools and large scrapers similar to those at Narran Lake.</t>
  </si>
  <si>
    <t>The worst massacre in the district took place at Hospital Creek which is the channel through which Narran Lake empties into the Bokara and then the Barwon after the very highest floods. This is about 15 miles north of Brewarrina and is in U'alarai territory.</t>
  </si>
  <si>
    <t>Western Midden 1 - This is the only major place that was found on the western side of Lake Narran. According to the author's description it sounds more like a hearth than a midden.</t>
  </si>
  <si>
    <t>A scatter of stone artifacts was found on a sandy loam area 1 km north of WM1 .</t>
  </si>
  <si>
    <t>A large grindstone, a large core and some primary flakes were found on small sand dunes 3 km south of WM1 .</t>
  </si>
  <si>
    <t>Airstrip Middens 1, 2 and 4. This is a series of four main middens separated by areas that have very little archaeological evidence. Each one is a discrete unit but they all run parallel to the lake shoreline.</t>
  </si>
  <si>
    <t>Kia Ora Middens (K1 and K2). 
K1 - This place is not eroded and shell, bone, ash and charcoal are preserved.
K2 - K2 is an extension of K1 which is separated by a watercourse. It is smaller and shallower than K1 and gradually becomes smaller towards the south which is getting further away from the deeper parts of the lake.</t>
  </si>
  <si>
    <t>I. Narran River - Three areas each about½ km.long were examined along the Narran River. The river banks are scattered with stone artifacts but the density, is many times lower than at any of the definite places at Narran Lake.</t>
  </si>
  <si>
    <t>A large scatter of stone artifacts was found about 1 1an east of the Narran River oppoplace the property called 'Narran Plains'. The place is at the southern end of a large sandy area which is about½ 1an by 3 km, and appears to be an old river course.</t>
  </si>
  <si>
    <t>Beside the bridge going over the Narran River on the Cumborah Brewarrina road an area of surface soil has been scrapped off by a grader. This has exposed a concentration of stone artifacts including large cores, steep-edged scrapers and straight edged scrapers, as well as many primary flakes.</t>
  </si>
  <si>
    <t>The edges of this area are not distinct banks but are marked by deflation hollows filled with scattered stone artifacts.</t>
  </si>
  <si>
    <t>The surface was scattered with stone artifacts.including nosed and round edged scrapers and an adze slug. Grindstone fragments were connnon and I saw six complete grindstones.</t>
  </si>
  <si>
    <t>At some time subsequent to this period, the aborigines availed themselves of this building material and erected those interesting structures called by the white population of the river "The Native Fisheries," but which are known to the blackfellows as "Ngunnhu".</t>
  </si>
  <si>
    <t>I returned to Mungindi, where I learnt that they local tribe were gathered on the Barwan River…</t>
  </si>
  <si>
    <t>...but the New South Wales boundary, the Barwan River, being so near, a number of natives of the latter colony were also present.</t>
  </si>
  <si>
    <t>This camp consisted of five divisions representing the remnants of the tribes from the following rivers :-the Macquarie,the Castlereagh, the Bogan, the Barwan, and the tribe fromi Cobar.</t>
  </si>
  <si>
    <t>Three dialects were spoken by the natives who attended this gathering, but were mutually understood by all. The people from the Castlereagh, the Mole and the Barwan spoke Wailwan, those from the Bogan and Cobar spoke Wonghibon,and those from the upper Macquarie, the Wiradthuri dialect.</t>
  </si>
  <si>
    <t>73. Narran River , North-Central New South Wales - …Mrs K.L.Parker briefly refers to "carvings on trees"…</t>
  </si>
  <si>
    <t>Even in New South Wales, on the Narran River, where there are no taphoglyphs, 'a few painted upright ports' marked a grave".</t>
  </si>
  <si>
    <t>At Boogira, on the Narran Lake, is an imprint in stone of Byamee's hand and foot, which shows that in those days were giants.</t>
  </si>
  <si>
    <t>There is a large stone fish trap at Brewarrina, on the Barwan River.</t>
  </si>
  <si>
    <t>The nearest missionary Community was found after we settled with the Euahlayi, and was distant about one hundred miles, at Brewarrina.</t>
  </si>
  <si>
    <t>Amid the Cookeran Lake still wanders the woman who arrived late at the big Boorah…</t>
  </si>
  <si>
    <t>Bahloo's favourite spot for carrying on the girl manufacturing is somewhere on the Culgoa.</t>
  </si>
  <si>
    <t>At Dooyanweenia are two rocks where Byamee and Birrahgnooloo rested, and to these rocks are still sticking the hairs he pulled from his bearh, after rubbing his face with gum to make them come out easily.</t>
  </si>
  <si>
    <t>They were called Bungebah, and were killed as devils by an alien tribe somewhere between Noorahwahgean and Gooroolay.</t>
  </si>
  <si>
    <t>At Guddee, a spring in the Brewarrina district, every now and then come up huge bones of animals now extinct.Legends say that these bones are the remains of the victims of Mullyan, the eagle-hawk, whose camp was in the tree at the foot of which was the spring...</t>
  </si>
  <si>
    <t>They went to Kinggle and there began their work…No blacks will cross Kinggle plains lest some of these spirits arise through the openings of their graves.</t>
  </si>
  <si>
    <t>At Mildool is a scooped-out rock which Byamee made to catch and hold water; beside it he hollowed out a smaller stone, that his dog might have a drinking -place too.</t>
  </si>
  <si>
    <t>The graves in some parts of Australia are marked by carved trees; only a few painted upright posts marked them on the Narran.</t>
  </si>
  <si>
    <t>At Toulby and elsewhere are mud springs… The first of those they made were at Yantabulla, which bears their name to this day.</t>
  </si>
  <si>
    <t>…there was another occurrence on the northern bank of the Barwon about four miles above the Fisheries…Skeletons can be found at most of the bends of the Barwon River as it moves towards Walgett.</t>
  </si>
  <si>
    <t>The old Ngemba people from the Mission often camped on the river-bank near the Fisheries…There were many rocks on the river-bank showing marks made by the sharpening of stone tomahawks and spearheads. For miles on both sides of the river there are middens and an accumulation of shells which reach a depth of many feet. I have found nardu stones, also the smaller stones which were always carried for sharpening spears. Mill stones can still be seen in this area. The lower stone was always made of the hardest type of sandstone, and it could be that the slightly concaved surface was shapped intentionally and not word down from use.</t>
  </si>
  <si>
    <t>Another tree which had special significance to the Muruwari was approximately 40 miles from Brewarrina. Their legend of the two eagles or spirit birds was believed to have emanated from this tree.</t>
  </si>
  <si>
    <t>There is a large, evil-looking bend in the river four miles above Brewarrina; the water is extremely deep and the bend is called Mirigana by the Aborigines. This name was given to it many years ago as it had some associations with the Jugi, or spirit dogs. However, people have also spoken about this unpleasant stretch of water as the home of the rainbow serpent, or water snake. These snakes are reputed to be enormous, close to the size of a large prehistoric animal. The Muruwari called them gabuda gan and the Ngemba called the wawi.</t>
  </si>
  <si>
    <t>Between Barwon Bridge and the Mission there is a ridge on which there are several large granite rocks. This is where the natives used to grind their axes, and the marks can still be seen.</t>
  </si>
  <si>
    <t>"The burial ground at the Mission is near the river, and we feel that it is one with special associations for our people. One of the managers who was there in the very early days wished to be buried in this place, and 'Hopkins 1900' can be seen on his grave. There is supposed to be another grave dated to about 1890, but this is hard to locate now. The man that caused the shooting of the natives at the Hospital Creek massacre is also supposed to have been buried there. Farther east is a place where a house and cellar had been; a depression in the ground is all that remains to indicate its position.</t>
  </si>
  <si>
    <t>There was a path from Barwon Bridge to the Mission; it had been in use for many years before the Mission was established. Along this path, three miles from the Mission, stood the Butcher's Tree. The tree was given this name after the massacre had taken place.</t>
  </si>
  <si>
    <t>There is another old burial place at Culgoa Downs, a few miles from the old reserve.</t>
  </si>
  <si>
    <t>Mother and the old people frequently discussed the importance of the Culgoa River to the Muruwari tribe. They also spoke about thirteen completely hairless Aborigines who lived near the river during those years [1850-1860].</t>
  </si>
  <si>
    <t>Another place of great interest to the old people was away from the Culgoa River and towards Enngonia. Mother, Jimmy Kerrigan and Hippai used to tell me about the little hairy men who lived there. It was believed that they lived in holes in the ground and could be seen only during the afternoon. Sometimes a hollow drumming sound was heard coming from their underground home.</t>
  </si>
  <si>
    <t>Near Cumborah are the old bora grounds and many marked trees; there are also marked trees along the Culgoa River. The only time a Muruwari marked a tree was when a particularly important man was buried close to it. The markings on the tree are similar to those on the body of the deceased.</t>
  </si>
  <si>
    <t>Between Cumborah and Walgett it is believed that Baiamee lit a large fire and cooked a giant carpet snake as a feast for the people. The burnt area is still visible.</t>
  </si>
  <si>
    <t>Definitions of themes</t>
  </si>
  <si>
    <t>…His wife was Polly Marshall; she was reputed to be something of a witch doctor. When she was very young she had been wounded in the Hospital Creek massacre of Aborigines. Polly had been hit by two shots in the thigh while her mother was carrying her and trying to run away. There must have been a slight lull in the shooting and as Polly became very heavy to carry her mother put her under a large log and continued running. Later that night she sneaked back, collected Polly and took her in the direction of Cumborah.</t>
  </si>
  <si>
    <t>The largest massacre was at Hospital Creek, which is eleven miles from Brewarrina on the Goodooga road.</t>
  </si>
  <si>
    <t>There was another tree with special associations; this was at Little Bend, not far from the Mission. It was large and had very smooth trunk. It was said that the witch doctors held their secret meetings there and that the hollow part of the trunk contained human bones and various belongings of the gubi, or clever men. It seemed odd that the tree appeared to have been burnt near the lower branches and in the centre of the trunk. The fire had not damaged the outside part of the tree in anyway, and the burnt part never healed although the remainder was extremely healthy.</t>
  </si>
  <si>
    <t>Mundiwa was called Diraluda in Muruwai and was forty five miles from Brewarrina. It was a camping reserve for Aborigines…</t>
  </si>
  <si>
    <t>Some of the Ngemba people believed that Baiamee stayed for a while with the Aborigines and showed them how to construct the fisheries at Brewarrina. It was at this time he made the footprints near the yards.The footprints of Baiamee have also been seen at Cobar, Gundabooka Mountain, Byrock, and near Narran Lake. The dogs were believed to have camped beside the Narran Lake when returning to Baiamee...</t>
  </si>
  <si>
    <t xml:space="preserve">…[father] he later managed a small property called Gerara. This property which is now called Old Gerara, is near the Queensland border and not far from Enngonia. </t>
  </si>
  <si>
    <t>Tues 18th August 1885
Within a couple of miles of the town there is a camp of natives, to reach which the river has to be crossed, and this is done in a native canoe made of a large sheet of box bark. This bark is about 9 feet long, and between four and five wide, and has been warped by heat, forming a boat capable of carrying five adults.</t>
  </si>
  <si>
    <t>Katie reputedly used to have a beast killed for them (the Noongahburrahs) and took it up to their corrobborees at Angledool Lake.</t>
  </si>
  <si>
    <t>The legends were largely gathered from the Noongahburrahs who lived on Euahlayi country where Bangate Station had been established…</t>
  </si>
  <si>
    <t>Sim tells how he spent about six months on and off, living on Bangate staying in a stockmans hut on the outstation Bogeira with the boundray rider Greg Field who was born on Bangate in about 1897.</t>
  </si>
  <si>
    <t>…infamous Hospital Creek Massacre only 20 years earlier and not from Bangate.</t>
  </si>
  <si>
    <t>They weren't able to find the Minggah tree, which it was believed was human but if you got too close, it disappeared.</t>
  </si>
  <si>
    <t>A shepherd from Quantambone Station was believed to have taken an Aboriginal woman and then was attacked and killed by the native men.</t>
  </si>
  <si>
    <t>You didn't go to the swinging bridge, there had been sad buiness there…drownings.</t>
  </si>
  <si>
    <t>Sat 17 February 1900
The police at Angledool having recently, on their own responsibility, increased the supply of rations to aborigines at that place, a report was received on
the subject, in which the police stated that they were not aware that the authority of the board was necessary for their action; that the aborigines in
question were hunted from place to place; that it was necessary to protect them from harsh treatment, and that, if they were not fed, they would have to steal. The board decided to request the superintendent of police at Bourke to given instructions that the aborigines at Angledool were not to be allowed to starve; that a further report on their condition, later on, should be submitted,and that all able-bodied men were to be induced to go to work when employment was available.</t>
  </si>
  <si>
    <t xml:space="preserve">Sat 16 September 1843
Since our last report we have received some additional particulars of the murder lately perpetrated by the blacks on the Barwin. The melancholy intelligence of Mr. Hallen's death has been confirmed. </t>
  </si>
  <si>
    <t>Sat 2nd April 1842
A very melancholy occurrence took place in this part of the country a few days ago. A man assisted by a black boy were bringing up a herd of cattle from the Macquarie to this river, and on their way they were obliged to pass over a plain
forty miles in extent without  water. A few days afterwards their bodies were,
found under a tree, and the cattle, which belonged to Mr.  Lowe were  dispersed. A man, in the employment of Mr White, was missing for several days his body  was at last found in the bush, and from its appearance there can be  little doubt that the unfortunate, man must  have been  murdered by the blacks. Two men in the employment of Mr. Rouse, were travelling on the river, and having stopped to feed their horses, had fallen asleep. In this helpless condition two blacks came upon them.</t>
  </si>
  <si>
    <t>Tues 28 March 1843
We might now expect to do some good were it not for the outrages of the blacks, who are destroying life and properly wholesale, so that it has become very difficult to get stockmen and hut-keepers, except at a rate of wages which we cannot afford to pay. We are not well used by the government: we have no commissioner, no border police, and we cannot take the law into our own hands for fear of the gallows. We are thus compelled to see our men butchered and our property destroyed without redress. We are made to pay taxes, and have in return no protection from the government. Mr. Mayne never visits us.</t>
  </si>
  <si>
    <t>Tues 1 August 1876
A blackfellow known as McElligott's Tommy, formerly a black tracker, and one of the finest specimens of the N. S. Wales aboriginals I have ever seen -a stout able-bodied follow, about five feet nine inches— struck one of his own race, a few nights past, with a short stick, down at the blacks' camp, about a mile from
our town, and killed him with one blow, fracturing his skull. Upon the information of the other blacks at the camp, he was taken next morning by the police, and was committed by Mr. H. Cohen, J P., to Dubbo, to stand his trial for murder.</t>
  </si>
  <si>
    <t>Thurs 31 August 1876
...so our little " Fishery " was for some hours left in charge of the blacks</t>
  </si>
  <si>
    <t>Sat 29th October 1892
At a meeting of the Aborigines Protection Board, a private report from Brewarrina was received condemning the manner in which the Brewarrina Mission was conducted. The Board, in the discussion which followed, condemned the Aborigines Protection Association and declared it had failed in its work.</t>
  </si>
  <si>
    <t>Thurs 13 December 1900
The Aboriginals  who had lately been sent to that place had refused to conform to the rules of the station. The board was inclined to be a little indulgent to the alleged offenders, and decided to write to the manager, and point out that, in view of the exceptional circumstance's under which these Wollar aborigines were sent to the station, some kind of forbearance should, be exercised towards them, but in the meantime the young men should be made to take some part in the work of the station, or be dealt with as others who offend against the rules.</t>
  </si>
  <si>
    <t>Thurs 17th April 1890
A telegram from Brewarrina just received states that the floods there are terrible, and still rising. Many brick buildings are collapsing, and the bank manager has been compelled to desert his office. Efforts will be made to send a boat to rescue the people at the aboriginal mission station, nine miles distant, on the arrival of the Start. Everything possible is being done.</t>
  </si>
  <si>
    <t>Sat 12 January 1889
The Rev. J. B. Gribble, who bas been engaged in gathering in the Darling River blacks to the Barwon mission station, arrived here with a number of natives
last night. He goes on to Dubbo to-day for the purpose of further recruiting for the mission.</t>
  </si>
  <si>
    <t>Wed 12th February 1873
Mr. Burns to ask the Colonial Secretary,- Is it true that no blankets were distributed to the aborigines of the districts of Culgoa and Narran during last winter and if so, why?</t>
  </si>
  <si>
    <t>Tues 18 February 1873
That blankets for the aborigines of Culgoa and Narran were consigned to the care of the Police Magistrate of Murrurundi, on the 15th April, 1872.</t>
  </si>
  <si>
    <t xml:space="preserve">Fri 24th June 1898
Approval was given for the addition of meat to the rations issued to a number of aboriginals at Pilliga, Goodooga, and Angledool, who, from old age
and infirmity, were unable to hunt. A report was received from the officer in charge of the police at Angledool regarding a letter addressed to the Under-Secretary by Mr. W. N. Willis, M.L.A., representing that the aboriginals at that place were suffering badly through the nonreceipt of the usual annual supply of blankets. The officer reported that 100 blankets were received by him on the 23rd of last month, and were distributed on the same day. </t>
  </si>
  <si>
    <t>Fri 26th June 1896
The Under-Secretary for Lands wrote, informing the-board that the Minister did not consider it necessary 'to set apart lands at Goodooga specially for aboriginals, as no objections had been received as to their continuing their camp on the commons at that place.</t>
  </si>
  <si>
    <t xml:space="preserve">Tues 16th June 1874
Constable Chadwick arrested a blackfellow, under warrant, last week, charging him with absconding from his hired service " Billy Murray," it appears, had engaged to go down the country as drover with one Jerome Walford, and, after being a fortnight on the road, " sloped" back with a horse, saddle, and
bridle, which he took and left at Angledool-the station the cattle had started from. On Walford's return to Walgett, he took out a warrant for the "darkey," whom constable Chadwick found shepherding at Llanillo station. </t>
  </si>
  <si>
    <t>Fri 18th December 1846
Along the banks of the Narran, the grass is of the very best description, Panicum loevinode, and Anthistirium Australis, (barley grass and kangaroo grass of the colonists) growing on plains or in open forests, very available, in every respect, for cattle stations. But the seeds of the Panicum loevinode, constitute the chief food of the natives, who bruize these seeds between stones, and bake the dough into cakes. As I advanced these natives fell back on the main river, where the assembled body received our party very kindly.</t>
  </si>
  <si>
    <t>Sat 3 June 1899
This uninvited and unwelcome company of original proprietors of the country
had apparently by preconcerted arrangement assembled from the northwest, and, being naturally keen sportsmen, had amused themselves by hunting and killing the cattle, and alarming the occupants of the neighbouring stations situated on the Narran, Bokhara, and Balandoon rivers, also on tributaries of the Balonne.</t>
  </si>
  <si>
    <t>Thurs 1st August 1895
Mr. Pealey showed a fine ornamented hielaman or aboriginal shield, from the Narran River, New South Wales.</t>
  </si>
  <si>
    <t>Wed 3rd February 1864
Discovery of human remains near Walgett.
-Information has been received from Walgett, by a letter dated the 19th of January, that on the 16th the remaius of a human skeleton were found in the
bush, between the Narran aud Barwin rivers, and about 30 miles from Walgett. Many of the bones to complete the frame were wanting. They were discovered by a blackfellow, and, from the presence of a number of decayed rags of clothing where the bones were found, there can be but little doubt but they were those of a white man.</t>
  </si>
  <si>
    <t>Tues 28th December 1875
The weather is unchangeable, and it continues without rain. But the chances from high to low in temperature continue to be very severe.  Whether these
changes are the cause or not I cannot say , but everyone is ailing with a sort or influenza-even the blacks are very bad</t>
  </si>
  <si>
    <t>Thurs 24 November 1870
" Euroka Jack,"  the aboriginal who recently was sentenced to a month's imprisonment for drunkenness and riotous conduct, has distinguished himself under the following circumstances -A Mr Baird, of Wilkie Plains, lost his gold watch and chain while on his journey to attend the court in the trespass case of Murray  v Mackay. " Euroka ' was put on his tracks, and notwithstanding the bogs, the water,and the long grass he had to contend with, be very cleverly discovered the lost articles after five miles tracking, and safely delivered them to the owner.</t>
  </si>
  <si>
    <t>VD</t>
  </si>
  <si>
    <t>FR</t>
  </si>
  <si>
    <t>The Ngemba were the nominal owners of Baiame's Ngunnhu which was an extensive structure of several hundred stone traps. Several of these traps were allocated to each family group who were responsible for their use and maintenance</t>
  </si>
  <si>
    <t>SE</t>
  </si>
  <si>
    <t>GS</t>
  </si>
  <si>
    <t xml:space="preserve">Peter Hippi - Wallace Saunders} Aboriginals &amp; Gins
</t>
  </si>
  <si>
    <t>Tues 2nd May 1865
On the 26th of last month the station of Macleay, Little, and Co., on the Culgoa, about 100 miles from Bourke, was stuck up by four armed men...They took up their tracks up the Brie and across the country to the Bokarra, from thence to the Narran...The police took up the tracks next morning, which led them right into the Narran Lake...Mrs. Frederick Ward, alias Captain Thunderbolt's half-cast gin and pickaninnies were busy planting the stolen property...Sergeant Cleary succeeded in tracking him to his hiding place, near the notorious Red Town station on the Narran.</t>
  </si>
  <si>
    <t>CG</t>
  </si>
  <si>
    <t>PR</t>
  </si>
  <si>
    <t>AR</t>
  </si>
  <si>
    <t>Spelt Morella by Mitchell</t>
  </si>
  <si>
    <t>IK</t>
  </si>
  <si>
    <t>...a reported massacre occurred very near Yuwaalaraay territory, 10 kilometres north of Brewarrina, between 1860 and 1870. The event leading to this massacre, was the killing of a stockman and an Aboriginal woman at 'Walcha Hut', a remote outpost of Brewarrina. An early settler recorded in his diary:
[t]he blacks raised the hut, killed and mutiliated the occupants as a warning to other [stockment about co-habiting with Aboriginal women] and burnt the hut and yards. They then killed and roasted a bullock near the hut, and it was the smoke that alerted the other settlers and stockmen along the creek. ...The mob of blacks headed out to the Narran Lake region but were cuaght in the hollow known as Hospital Creek and "massacred" (Brewarrina Historical Society, 1992: 145).</t>
  </si>
  <si>
    <t>Sat 12 April 1919
Amongst the worst massacres in NSW was that at Hospital Creek, near Brewarrina,in 1859. Settlers then making out West, being troubled by the blacks, and living in fear of them, a party was got together, who surrounded about 800 aborigines at the creek,and shot down most of them, including women and piccaninnies.</t>
  </si>
  <si>
    <t>Refers to names in " " which were likely Indigenous workers. This worker was paid the same rate as other workers identified as potentially Indigenous people and all worked for 8 weeks and 1 day.
Photo of record: Photo 015_100/4/1/240</t>
  </si>
  <si>
    <t>DR</t>
  </si>
  <si>
    <t>Thurs 22nd September 1881
We leave Navena shortly afterwards, entering the town of Brewarina, or "The Fishery," as it is generally called, in consequence of a natural bar of rocks crossing the river, and stopping to a great extent the flow of water, whereby are impounded shoals of fish. On this bar the aboriginals have built, with large loose stones, a number of small enclosures or cells, varying in height from two feet upwards. The idea seems to be when the river is in "fresh," the fish, with unpardonable curiosity, poke into these enclosures, and pay the penalty by remaining there, the natives having neglected to put up any doors, marked out.</t>
  </si>
  <si>
    <t>Wed 19 Decemeber 1888
Brewarrina, Tuesday.— The aborigines mission station situated on the banks of the Barwon River, nine miles from Brewnrrina, is beginning to assume a very lively appearance. There are at present 72 blacks congregated, some of them being engaged in making bricks, to bo used in erecting cottages for the natives.
A school has been built, and the Rev. J. B. Gribble has just commenced school duties, having arrived a few days since, accompaniedby a number of blacks from Bourke. Great praise is due to the reverend gentleman and to Mr. Taplin for the rapid strides the mission is making.</t>
  </si>
  <si>
    <t>Thurs 21 August 1879
The human remains reported as found upon Gingi Run, in a hollow tree, have turned out to be those of an aboriginal belonging to the "Gingi" tribe. It seems it is the custom for the blacks to thus entomb their dead under certain circumstances, and the hollow tree upon this occasion did duty as a native vault.</t>
  </si>
  <si>
    <t>ID</t>
  </si>
  <si>
    <t>OL</t>
  </si>
  <si>
    <t>Fri 4th August 1893
A shearers' strike occurred recently at Dalgetty's Gnomery Station. It appears that after signing the agreement the shearers objected to commence work owing to a blackfellow and his gin being employed on the board as pickers-up.</t>
  </si>
  <si>
    <t>Sat 19th August 1893
 A "Swagsman's Shadow " writes giving particulars of the shed hands' strike at Brewarra. Poor, helpless black-fellows and their gins were drafted into the places vacated by the strikers. The shearers supplied the strikers with rations,
which the manager refused, but decided by ballot that they could not effectually assist the shed hands by coming out on strike.</t>
  </si>
  <si>
    <t xml:space="preserve">Sat 30th November 1895
Corrobborees travel a long distance from tribe to tribe. I will describe one witnessed at two places, two or three hundred miles apart, and the inference
drawn from it. I had taken a mob of cattle to the Condamine or Barwon River
a long distance from Ucumble country and while there saw an immense corrobboree. There was an image made of earth and logs, and I asked some of the natives in English (not understanding the dialect) what it was intended to represent, and was told that it was the big fellow that lived in the water. </t>
  </si>
  <si>
    <t>Sat 31st January 1925
A party of new settlers, whose principle incentive was fear of the blacks, rounded up about 300 of them at a spot about 13 miles from Brewarrina, and shot down nearly all of them, including women and piccaninnies.</t>
  </si>
  <si>
    <t>Sat 4th April 1874
It must seem strange to any  person inspecting  the fisheries lo think how the blacks could have invented and successfully carried out such a scheme for catching fish, and for years they stand the test of every flood that comes, and you cannot see any change whatever  in the  yards built  by the natives, I understand some 40 years ago.</t>
  </si>
  <si>
    <t>Sat 30th July 1892
Weilmoringle station, Bourke, called the roll on the 15th inst., but refused
to give 30s a week to the shed hands, so was unable to make a start until the 20th, by which time the boss had gathered together enough of the Toulby blacks to give him a start, the station jackeroos acting as wool rollers.</t>
  </si>
  <si>
    <t xml:space="preserve">Wages Acc Poundkeeper, Dumble Billy
Bangate "Peter" (possibily Peter Hippai?), "Mullawa Jack", "Billy Murri"
</t>
  </si>
  <si>
    <t>Photo of record: Photo 017_100/4/1/240</t>
  </si>
  <si>
    <t xml:space="preserve">Wages Account
Blackboy, Laundress &amp; Housemaid, burr cutting &amp; casual labour
</t>
  </si>
  <si>
    <t>Photo of record: Photo 027_6/40</t>
  </si>
  <si>
    <t xml:space="preserve">Wool Expense Account
Rouseabout rations (possibly Indigenous workers paid in rations)
Noxious Animals Account
Rabbiter's rations (possibly Indigenous workers paid in rations)
Wages Account
Blackboy, Laundress &amp; Housemaid, casual labour
</t>
  </si>
  <si>
    <t>Photo of record: Photo 025_6/40 and Photo 026_6/40</t>
  </si>
  <si>
    <t xml:space="preserve">Wool Expense Account
Rouseabouts rations (possibly Indigenous workers paid in rations)
Noxious Animals Accounts
Rabbiter's rations (possibly Indigenous workers paid in rations)
Wages Account
Blackboy, Laundress &amp; Housemaid, scrubcutters, lamb marking &amp; casual labour
</t>
  </si>
  <si>
    <t>Photo of record: Photo 023_6/40 and Photo 024_6/40</t>
  </si>
  <si>
    <t xml:space="preserve">Wool Expense Account
Rouseabouts rations (possibly Indigenous workers paid in rations)
Noxious Animals Account
Rabbiter's Rations (possibly Indigenous workers paid in rations)
</t>
  </si>
  <si>
    <t>Photo of record: Photo 022_6/40</t>
  </si>
  <si>
    <t>Sat 26 Dec 1885
Mr Heaton then goes on to say: "At our station, Dumble, on the Bokhara and Biree Rivers, the whole of the males are busily engaged in constructing canoes, and as far as they can possibly do are laying in stocks of provisions. "</t>
  </si>
  <si>
    <t>Sat 13th November 1897
At the meeting of the Aborigines' Protection Board yesterday, authority was granted for the purchase, of clothing to a number of old and Infirm aboriginals at Angledool, Goodooga, Tatalla...also rations to destitute aboriginals at Wollar, Cobar, and Tatalla.</t>
  </si>
  <si>
    <t>Sat 11 February 1888
At one time I was lost between the Darling and the Bokhara rivers, 31/ miles out from the former, through my horse breaking his hobbles at night and getting away. The  weather was wet, and I was for five days with nothing to eat but the roots and herbs I could find. I took the precaution of remaining in tho one place, knowing my absence from the Moorabie station near the junction of the Castlereagh with the Darling river, where I was at the time living, would cause a search party to start out to look for me. The  wet weather obliterated the tracks of my horse who had returned to the station. On the fifth day I was found by a tribe of blacks who were camped out in the back country, not far from where I was, who treated me with the greatest kindness.</t>
  </si>
  <si>
    <t>Fri 2nd November 1894
Last Sunday a gentleman discovered some remains at a point a few miles up the river. He reported the matter to tho police, and the District Coronor (Mr.
Cathie) and Sergeant McDonald drove to tho spot. The remains were those of an aboriginal, and had the appearance of having lain for a long time. Almost the whole of the skeleton ws under ground, but the top of tho skull was exposed to view, having become quite bleached with the sun. The skull was further examined, and found to be (from its thickness) that of an aboriginal, who had evidently had been shot in tho head with a bullet, quite flattened, which was found in an inlet in the skull. The tooth in the upper and lower jaws, although uuderground, were in a rare state of preservation. The Coroner did not consider the discovery worth an inquiry, so disposed of that function. Opinions have been expressed that the remains  have laid where discovered for almost a quarter of a century.</t>
  </si>
  <si>
    <t>Fri 18th December 1846
We made the junction of the Macquarie with the Darling in longitude 147 33 E., latitude 30.6.11 S. ; but I found that a few miles higher, at the station of Mr. Parnell, jun. there was a good ford across the River Darling, (or Barwan,
the aboriginal name there in general use.) I accordingly crossed the river at
Mr. Parnell's station, and the superintendent sent with us two aboriginal natives, who guided us in a very straight direction, and over a fine open country to the Narran Swamp, which we reached at twenty-six miles from the Darling.</t>
  </si>
  <si>
    <t>Fri 15th April 1898
The police sergeant at Brewarrina reported that 17 aborigines  camped on
the Culgoa River,some of whom were over 70 years of age, were in a destitute condition, and physically incapacitated from earning a living The board approved of the issue of the usual rations to them, and directed that endeavours be made to get them to remove to the of Barwon River aborginal Station where suitable provision would be made for their care.</t>
  </si>
  <si>
    <t xml:space="preserve">"Darie(?)", "Jemmy", "Dumble Billy", "Long Billy", "Poundkeeper"
</t>
  </si>
  <si>
    <t>Refers to names in " " which were likely Indigenous workers. All of these workers were paid the same rate and all worked for 8 weeks and 1 day.
Interestingly, Mitchell (1848. p. 110)  refers to "a lad named Jemmy, who spoke a little English, and had visited many of our cattle-stations" from around the upper Narran/Balonne Rivers.
Photo of record: Photo 014_100/4/1/240</t>
  </si>
  <si>
    <t>013</t>
  </si>
  <si>
    <t>024</t>
  </si>
  <si>
    <t>192</t>
  </si>
  <si>
    <t>Minggah tree on Bangate Station</t>
  </si>
  <si>
    <t>Thur 2nd April 1885
As we approached the Queensland border we heard that two foot travellers had been murdered by the blacks ; and on arriving at the  last station on the Culgoa in New South Wales we found the only inmates were women folk, for the men were absent in pursuit of the blacks, and the Queensland native police from tho Bungil were expected daily.</t>
  </si>
  <si>
    <t>Tues 20th May 1862
On the 26th April two men left Mr Spring's station on the Culgoa to travel towards the Balonne, when they had gone about ten miles they were attacked by blacks, one was murdered, and the other left for dead, but recovored sufficiently to give information.</t>
  </si>
  <si>
    <t>Tues 2nd December 1856
The petition of the residents in the district of Maranoa, who are either the proprietors of stock, or in charge of same, on the Balonne, Moonie, Weir, and Barwan Rivers, Humbly sheweth,—That the greater part of the district of Maranoa, which is altogether a grazing district, is wholly without protection from the native blacks, who are incessantly slaughtering the cattle and sheep depastured therein. That, during the last twelve months, the destruction of cattle has been even far greater than in previous years, and such that, if it were to continue, must eventually oblige the settlers to abandon their runs altogether.</t>
  </si>
  <si>
    <t>Wed 5 July 1854
On this and the  adjoining rivers, a practice has been adopted by many hutkeepers and stockmen, and by some in higher social position; one of the results of which is so detestably bad that it demands judicial  investigation, that is the practice of keeping black women as concubines. This unlawful intercourse has led to murderous strife with the blackmen in some instances, but its most hideous result is frequent infanticide.</t>
  </si>
  <si>
    <t>﻿Acts of retaliation/resistance against settler-colonisers</t>
  </si>
  <si>
    <t>﻿This includes activities such as killing stock for food, using/taking settler-colonial goods or infrastructure or using infrastructure for other purposes</t>
  </si>
  <si>
    <t>Reference to distributing rations, including blankets and clothes</t>
  </si>
  <si>
    <t>Other spatial references that could not be allocated to a specific theme</t>
  </si>
  <si>
    <t>Working for settler-colonists in exchange for cash or rations</t>
  </si>
  <si>
    <t>1850-1859</t>
  </si>
  <si>
    <t>1860-1869</t>
  </si>
  <si>
    <t>1890-1899</t>
  </si>
  <si>
    <t>1870-1879</t>
  </si>
  <si>
    <t>1880-1889</t>
  </si>
  <si>
    <t>1840-1849</t>
  </si>
  <si>
    <t>Uknown / early colonial</t>
  </si>
  <si>
    <t xml:space="preserve">Unknown </t>
  </si>
  <si>
    <t>Unknown 1840-1900</t>
  </si>
  <si>
    <t xml:space="preserve">Some employed on stations; the remainder support themselves fishing and hunting. </t>
  </si>
  <si>
    <t>historical_theme</t>
  </si>
  <si>
    <t>Count of historical_theme</t>
  </si>
  <si>
    <t>Count of period</t>
  </si>
  <si>
    <t>Count of 'historical_theme'</t>
  </si>
  <si>
    <t>Distribution of 'historical_theme' for each 'place_category'</t>
  </si>
  <si>
    <t>Distribution of 'historical_theme' by 'period'</t>
  </si>
  <si>
    <t>Count of 'place_type_1'</t>
  </si>
  <si>
    <t>Count of 'place_type_2'</t>
  </si>
  <si>
    <t>Count of 'place_type_3'</t>
  </si>
  <si>
    <t>Count of 'place_type_1' by 'place_category'</t>
  </si>
  <si>
    <t>Count of 'place_type_2' by 'place_category'</t>
  </si>
  <si>
    <t>Count of 'place_type_3' by 'place_category'</t>
  </si>
  <si>
    <t>Combined total of 'place_type_1', 'place_type_2' and 'place_type_3'</t>
  </si>
  <si>
    <t>List of 'place_name' with 'not located' in 'coordinates_from'</t>
  </si>
  <si>
    <t>List of 'coordinates_precision' and 'place_name'</t>
  </si>
  <si>
    <t>Distribution of 'coordinates_precision' by 'coordinates_from'</t>
  </si>
  <si>
    <t>Distribution of  'place_category' by 'place_name'</t>
  </si>
  <si>
    <t>Count of 'coordinates_precision'</t>
  </si>
  <si>
    <t>Combined total of 'place_type_1', 'place_type_2' and 'place_type_3' by 'place_category'</t>
  </si>
  <si>
    <t>High precision</t>
  </si>
  <si>
    <t>Approximate precision</t>
  </si>
  <si>
    <t>Precision radius ~1 metre  - ~100 metres</t>
  </si>
  <si>
    <t>Precision radius ~100 metres - ~500 metres</t>
  </si>
  <si>
    <t>Precision  radius &gt; ~500 metres</t>
  </si>
  <si>
    <t>High precision Total</t>
  </si>
  <si>
    <t>Approximate precision Total</t>
  </si>
  <si>
    <t>Year in which the source_document was published</t>
  </si>
  <si>
    <t>The location where the source_document is stored or resides</t>
  </si>
  <si>
    <t>The year in which the reference occurred</t>
  </si>
  <si>
    <t>The time period allocated for analysis eg., 1840-1849, 1850-1859 etc through until 1900</t>
  </si>
  <si>
    <t>Categorisation of historical_theme as per the historical_theme list</t>
  </si>
  <si>
    <t>Number/ Text</t>
  </si>
  <si>
    <t>Surname of the author of the source_document</t>
  </si>
  <si>
    <t>First name of the author of the source_document</t>
  </si>
  <si>
    <t>Name of the periodical, newspaper or government report (if applicable)</t>
  </si>
  <si>
    <t>Tues 5th October 1897
On Thursday last Mr. Coleman, caretaker of the Barwon Bridge, was the victim of a most deliberate attempt of murder. From information to hand it appears that an aboriginal named Billy King insulted Mrs. Coleman on Wednesday, and when Mr. Coleman arrived home she made a complaint about the matter. On the following day Mr. Coleman saw King and remonstrated with him for insulting Mrs. Coleman, when he turned around and picked up a stick (what the teamsters term a "spreader" for tracers) and hit Mr. Coleman over the head, knocking him senseless. Dr. Horton was immediately sent for, and found the sufferer in a very precarious condition. We are pleased to learn that Mr. Coleman is now out of danger. The darkie proceeded to the Mission where he was arrested by the police.</t>
  </si>
  <si>
    <t>Sat 28th July 1894
The remains  of an aboriginal who had been missing from Gingie Station, in the Walgett district, for four days were found by a party of swagsmen in the Barwon River, near Dangar Bridge, on July 18.</t>
  </si>
  <si>
    <t>page_number the source_document_quote is on</t>
  </si>
  <si>
    <t>Field for additional information</t>
  </si>
  <si>
    <t>The name of a place mentioned in the source_document_quote</t>
  </si>
  <si>
    <t>Source location of coordinates. (Google Maps, NSW GNR, ExploreOz)</t>
  </si>
  <si>
    <t>Instances of Aboriginal people involved in physical violence and/or murder/massacres</t>
  </si>
  <si>
    <t>Specific references detailing Aboriginal people procuring food and other resources on Country</t>
  </si>
  <si>
    <t>Instances of Aboriginal people experiencing disease and other health issues</t>
  </si>
  <si>
    <t>References to the forced relocation of Aboriginal people</t>
  </si>
  <si>
    <t xml:space="preserve">﻿Including accounts of Aboriginal people within the landscape, ceremony and Dreaming stories </t>
  </si>
  <si>
    <t>% of coordinates_precision</t>
  </si>
  <si>
    <t>ExplorOZ</t>
  </si>
  <si>
    <t>NSW GNB</t>
  </si>
  <si>
    <t>% of historical_theme</t>
  </si>
  <si>
    <t>% of 'historical_theme'</t>
  </si>
  <si>
    <t xml:space="preserve">Unknown 
1840-1900
</t>
  </si>
  <si>
    <t>% of entries for each period</t>
  </si>
  <si>
    <t>% of Total</t>
  </si>
  <si>
    <t>count of all  place_type #</t>
  </si>
  <si>
    <t>-30.10385</t>
  </si>
  <si>
    <t>-29.8796</t>
  </si>
  <si>
    <t>Unknown pre-1840</t>
  </si>
  <si>
    <t>Time Period</t>
  </si>
  <si>
    <t>103</t>
  </si>
  <si>
    <t>104</t>
  </si>
  <si>
    <t>297</t>
  </si>
  <si>
    <t>298</t>
  </si>
  <si>
    <t>299</t>
  </si>
  <si>
    <t>300</t>
  </si>
  <si>
    <t>301</t>
  </si>
  <si>
    <t>29 individual place names within the dataset with no location data</t>
  </si>
  <si>
    <t>Junction Barwon-Namoi Rivers</t>
  </si>
  <si>
    <t>Junction Barwon-Macquarie Rivers</t>
  </si>
  <si>
    <t>Junction Barwon-Culgoa Rivers</t>
  </si>
  <si>
    <t>Junction Castlereagh-Barwon Rivers</t>
  </si>
  <si>
    <t>Toulby Station</t>
  </si>
  <si>
    <t>Baiame's Ngunnhu</t>
  </si>
  <si>
    <t>83 individual place names within the dataset</t>
  </si>
  <si>
    <t>54 individual known places names within the dataset</t>
  </si>
  <si>
    <t>Days of Massacre</t>
  </si>
  <si>
    <t>Accounts of Indigenous knowledge shared with settler-colonisers</t>
  </si>
  <si>
    <t>﻿Acts of Retaliation/Resistance Against Settler-Colonisers</t>
  </si>
  <si>
    <t>﻿Utilising Settler-Colonial Capital, Infrastructure or Goods</t>
  </si>
  <si>
    <t>Distribution of Rations</t>
  </si>
  <si>
    <t>Forced Relocation to Missions/Reserves</t>
  </si>
  <si>
    <t>General Site Reference</t>
  </si>
  <si>
    <t>Experiencing Illness and Disease</t>
  </si>
  <si>
    <t>Sharing Indigenous Knowledge to Assist Settler-Colonisers</t>
  </si>
  <si>
    <t>Observation or Description of Indigenous Lifeways</t>
  </si>
  <si>
    <t>Procuring Food or Resources on Country</t>
  </si>
  <si>
    <t>Engaging with Settler-Colonial Economy for Cash or Rations</t>
  </si>
  <si>
    <t>Experiencing Physical Violence and/or Death</t>
  </si>
  <si>
    <t>Acts of Retaliation/Resistance Against Settler-Colonisers (AR)</t>
  </si>
  <si>
    <t>Utlising Settler-Colonial Capital, Infrastructure or Goods (CG)</t>
  </si>
  <si>
    <t>Distribution of Rations (DR)</t>
  </si>
  <si>
    <t>Forced Relocation to Missions/Reserves (FR)</t>
  </si>
  <si>
    <t>General Site Reference (GS)</t>
  </si>
  <si>
    <t>Experiencing Illness or Disease (ID)</t>
  </si>
  <si>
    <t>Sharing Indigenous Knowledge Cross-Culturally (IK)</t>
  </si>
  <si>
    <t>Observation or Description of Indigenous Lifeways (OL)</t>
  </si>
  <si>
    <t>Procuring Food or Resources on Country (PR)</t>
  </si>
  <si>
    <t>Engaging with Settler-Colonial Economy for Cash or Rations (SE)</t>
  </si>
  <si>
    <t>Experiencing Physical Violence and/or Death (VD)</t>
  </si>
  <si>
    <t>count</t>
  </si>
  <si>
    <t xml:space="preserve">Fri 31st July 1896
The Principal Under-Secretary forwarded a letter addressed to the Chief Secretary by Mr. Willis, M.L.A., urging that rations be supplied to the aborigines at Walgett, Collarendabri, Goodooga, and Angledool. The secretary reported that the destitute aborigines at the places named had been receiving rations from the board for years past, and that during the first six months of the present year the sum of £160 had been expended for that purpose. It was decided to acquaint the Chief Secretary of the fact. </t>
  </si>
  <si>
    <t>Fri 3 Dec 1886
A telegram received from Mr. Sherwin, sheep director, Angledool, states that the blacks can find no further trace of rabbits.</t>
  </si>
  <si>
    <t>Wed 27th November 1889
c, from Turnbull to Wirrabilla, seventy miles, at which latter place the darkies from all these places met, and did not fight, as the drought was a national calamity).</t>
  </si>
  <si>
    <t>Aboriginal Community</t>
  </si>
  <si>
    <t>Fri 15th January 1897
The board was informed by . letter- from Bangate,  Narran River, near the Queensland border, that about twenty aboriginals intended visiting Sydney to give exhibitions of boomerang throwmg, &amp;c. The proposal was disapproved and it was agreed to take steps to prevent the aborigines from making the trip</t>
  </si>
  <si>
    <t>Photo of record: Photo 018_10/4/1/240
(Peter Hippi is a known Indigenous man)</t>
  </si>
  <si>
    <t>pre-1840</t>
  </si>
  <si>
    <t>Observation of Lifeways</t>
  </si>
  <si>
    <t>Experiencing Violence/Death</t>
  </si>
  <si>
    <t>Engaging with Settler-Colonial Economies</t>
  </si>
  <si>
    <t>Shearing Account, Bangate Station August 1900</t>
  </si>
  <si>
    <t xml:space="preserve">Charlie Hippai, Lady Hippai and Peter Hippai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</si>
</sst>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0"/>
  </numFmts>
  <fonts count="12" x14ac:knownFonts="1">
    <font>
      <sz val="12"/>
      <color theme="1"/>
      <name val="Aptos Narrow"/>
      <family val="2"/>
      <scheme val="minor"/>
    </font>
    <font>
      <sz val="8"/>
      <name val="Aptos Narrow"/>
      <family val="2"/>
      <scheme val="minor"/>
    </font>
    <font>
      <sz val="12"/>
      <color rgb="FF000000"/>
      <name val="Aptos Narrow"/>
      <family val="2"/>
      <scheme val="minor"/>
    </font>
    <font>
      <sz val="12"/>
      <color theme="1"/>
      <name val="Aptos Narrow"/>
      <scheme val="minor"/>
    </font>
    <font>
      <b/>
      <sz val="12"/>
      <color theme="1"/>
      <name val="Aptos Narrow"/>
      <scheme val="minor"/>
    </font>
    <font>
      <sz val="10"/>
      <color rgb="FF000000"/>
      <name val="Arial Unicode MS"/>
      <family val="2"/>
    </font>
    <font>
      <b/>
      <sz val="12"/>
      <color theme="1"/>
      <name val="Aptos Narrow"/>
      <family val="2"/>
      <scheme val="minor"/>
    </font>
    <font>
      <b/>
      <sz val="14"/>
      <color theme="0"/>
      <name val="Aptos Narrow"/>
      <scheme val="minor"/>
    </font>
    <font>
      <sz val="12"/>
      <color theme="2" tint="-0.249977111117893"/>
      <name val="Aptos Narrow"/>
      <family val="2"/>
      <scheme val="minor"/>
    </font>
    <font>
      <sz val="12"/>
      <color rgb="FF000000"/>
      <name val="Arial"/>
      <family val="2"/>
    </font>
    <font>
      <b/>
      <i/>
      <sz val="12"/>
      <color theme="1"/>
      <name val="Aptos Narrow"/>
      <scheme val="minor"/>
    </font>
    <font>
      <sz val="12"/>
      <color theme="1"/>
      <name val="Aptos Narrow"/>
      <family val="2"/>
      <scheme val="minor"/>
    </font>
  </fonts>
  <fills count="13">
    <fill>
      <patternFill patternType="none"/>
    </fill>
    <fill>
      <patternFill patternType="gray125"/>
    </fill>
    <fill>
      <patternFill patternType="solid">
        <fgColor theme="1"/>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theme="0" tint="-0.14999847407452621"/>
        <bgColor theme="0" tint="-0.14999847407452621"/>
      </patternFill>
    </fill>
    <fill>
      <patternFill patternType="solid">
        <fgColor theme="0"/>
        <bgColor indexed="64"/>
      </patternFill>
    </fill>
    <fill>
      <patternFill patternType="solid">
        <fgColor rgb="FFD9D9D9"/>
        <bgColor rgb="FFD9D9D9"/>
      </patternFill>
    </fill>
    <fill>
      <patternFill patternType="solid">
        <fgColor theme="0" tint="-0.14999847407452621"/>
        <bgColor indexed="64"/>
      </patternFill>
    </fill>
    <fill>
      <patternFill patternType="solid">
        <fgColor theme="0" tint="-0.14999847407452621"/>
        <bgColor theme="4" tint="0.79998168889431442"/>
      </patternFill>
    </fill>
  </fills>
  <borders count="3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theme="0" tint="-0.34998626667073579"/>
      </bottom>
      <diagonal/>
    </border>
    <border>
      <left/>
      <right/>
      <top style="thin">
        <color theme="0" tint="-0.34998626667073579"/>
      </top>
      <bottom/>
      <diagonal/>
    </border>
    <border>
      <left/>
      <right/>
      <top style="thin">
        <color rgb="FF000000"/>
      </top>
      <bottom style="thin">
        <color rgb="FF000000"/>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medium">
        <color theme="0" tint="-0.34998626667073579"/>
      </left>
      <right style="thin">
        <color indexed="64"/>
      </right>
      <top style="medium">
        <color theme="0" tint="-0.34998626667073579"/>
      </top>
      <bottom/>
      <diagonal/>
    </border>
    <border>
      <left style="thin">
        <color indexed="64"/>
      </left>
      <right style="thin">
        <color indexed="64"/>
      </right>
      <top style="medium">
        <color theme="0" tint="-0.34998626667073579"/>
      </top>
      <bottom/>
      <diagonal/>
    </border>
    <border>
      <left style="thin">
        <color indexed="64"/>
      </left>
      <right style="medium">
        <color theme="0" tint="-0.34998626667073579"/>
      </right>
      <top style="medium">
        <color theme="0" tint="-0.34998626667073579"/>
      </top>
      <bottom/>
      <diagonal/>
    </border>
    <border>
      <left style="medium">
        <color theme="0" tint="-0.34998626667073579"/>
      </left>
      <right style="thin">
        <color indexed="64"/>
      </right>
      <top style="medium">
        <color indexed="64"/>
      </top>
      <bottom style="thin">
        <color indexed="64"/>
      </bottom>
      <diagonal/>
    </border>
    <border>
      <left style="thin">
        <color indexed="64"/>
      </left>
      <right style="medium">
        <color theme="0" tint="-0.34998626667073579"/>
      </right>
      <top style="medium">
        <color indexed="64"/>
      </top>
      <bottom style="thin">
        <color indexed="64"/>
      </bottom>
      <diagonal/>
    </border>
    <border>
      <left style="medium">
        <color theme="0" tint="-0.34998626667073579"/>
      </left>
      <right style="thin">
        <color indexed="64"/>
      </right>
      <top style="thin">
        <color indexed="64"/>
      </top>
      <bottom style="thin">
        <color indexed="64"/>
      </bottom>
      <diagonal/>
    </border>
    <border>
      <left style="thin">
        <color indexed="64"/>
      </left>
      <right style="medium">
        <color theme="0" tint="-0.34998626667073579"/>
      </right>
      <top style="thin">
        <color indexed="64"/>
      </top>
      <bottom style="thin">
        <color indexed="64"/>
      </bottom>
      <diagonal/>
    </border>
    <border>
      <left style="medium">
        <color theme="0" tint="-0.34998626667073579"/>
      </left>
      <right style="thin">
        <color indexed="64"/>
      </right>
      <top style="thin">
        <color indexed="64"/>
      </top>
      <bottom style="medium">
        <color theme="0" tint="-0.34998626667073579"/>
      </bottom>
      <diagonal/>
    </border>
    <border>
      <left style="thin">
        <color indexed="64"/>
      </left>
      <right style="thin">
        <color indexed="64"/>
      </right>
      <top style="thin">
        <color indexed="64"/>
      </top>
      <bottom style="medium">
        <color theme="0" tint="-0.34998626667073579"/>
      </bottom>
      <diagonal/>
    </border>
    <border>
      <left style="thin">
        <color indexed="64"/>
      </left>
      <right style="medium">
        <color theme="0" tint="-0.34998626667073579"/>
      </right>
      <top style="thin">
        <color indexed="64"/>
      </top>
      <bottom style="medium">
        <color theme="0" tint="-0.34998626667073579"/>
      </bottom>
      <diagonal/>
    </border>
  </borders>
  <cellStyleXfs count="2">
    <xf numFmtId="0" fontId="0" fillId="0" borderId="0"/>
    <xf numFmtId="9" fontId="11" fillId="0" borderId="0" applyFont="0" applyFill="0" applyBorder="0" applyAlignment="0" applyProtection="0"/>
  </cellStyleXfs>
  <cellXfs count="114">
    <xf numFmtId="0" fontId="0" fillId="0" borderId="0" xfId="0"/>
    <xf numFmtId="0" fontId="0" fillId="0" borderId="0" xfId="0" applyAlignment="1">
      <alignment horizontal="left" vertical="top" wrapText="1"/>
    </xf>
    <xf numFmtId="0" fontId="0" fillId="0" borderId="0" xfId="0" applyAlignment="1">
      <alignment horizontal="left" vertical="top"/>
    </xf>
    <xf numFmtId="164" fontId="0" fillId="0" borderId="0" xfId="0" applyNumberFormat="1" applyAlignment="1">
      <alignment horizontal="left" vertical="top" wrapText="1"/>
    </xf>
    <xf numFmtId="0" fontId="0" fillId="0" borderId="0" xfId="0" quotePrefix="1" applyAlignment="1">
      <alignment horizontal="left" vertical="top" wrapText="1"/>
    </xf>
    <xf numFmtId="164" fontId="0" fillId="0" borderId="0" xfId="0" quotePrefix="1" applyNumberFormat="1" applyAlignment="1">
      <alignment horizontal="left" vertical="top" wrapText="1"/>
    </xf>
    <xf numFmtId="0" fontId="2" fillId="0" borderId="0" xfId="0" applyFont="1" applyAlignment="1">
      <alignment horizontal="left" vertical="top"/>
    </xf>
    <xf numFmtId="0" fontId="2" fillId="0" borderId="0" xfId="0" applyFont="1" applyAlignment="1">
      <alignment horizontal="left" vertical="top" wrapText="1"/>
    </xf>
    <xf numFmtId="0" fontId="3" fillId="0" borderId="0" xfId="0" quotePrefix="1" applyFont="1" applyAlignment="1">
      <alignment horizontal="left" vertical="top" wrapText="1"/>
    </xf>
    <xf numFmtId="164" fontId="3" fillId="0" borderId="0" xfId="0" quotePrefix="1" applyNumberFormat="1" applyFont="1" applyAlignment="1">
      <alignment horizontal="left" vertical="top" wrapText="1"/>
    </xf>
    <xf numFmtId="0" fontId="3" fillId="0" borderId="0" xfId="0" applyFont="1" applyAlignment="1">
      <alignment horizontal="left" vertical="top" wrapText="1"/>
    </xf>
    <xf numFmtId="0" fontId="0" fillId="0" borderId="0" xfId="0" pivotButton="1"/>
    <xf numFmtId="10" fontId="0" fillId="0" borderId="0" xfId="0" applyNumberFormat="1"/>
    <xf numFmtId="0" fontId="0" fillId="0" borderId="0" xfId="0" applyAlignment="1">
      <alignment horizontal="right"/>
    </xf>
    <xf numFmtId="0" fontId="0" fillId="0" borderId="0" xfId="0" applyAlignment="1">
      <alignment horizontal="left"/>
    </xf>
    <xf numFmtId="0" fontId="0" fillId="0" borderId="0" xfId="0" applyAlignment="1">
      <alignment horizontal="center"/>
    </xf>
    <xf numFmtId="164" fontId="2" fillId="0" borderId="0" xfId="0" applyNumberFormat="1" applyFont="1" applyAlignment="1">
      <alignment horizontal="left" vertical="top" wrapText="1"/>
    </xf>
    <xf numFmtId="0" fontId="4" fillId="0" borderId="0" xfId="0" applyFont="1"/>
    <xf numFmtId="0" fontId="6" fillId="0" borderId="0" xfId="0" applyFont="1"/>
    <xf numFmtId="0" fontId="5" fillId="0" borderId="0" xfId="0" applyFont="1"/>
    <xf numFmtId="49" fontId="0" fillId="0" borderId="0" xfId="0" quotePrefix="1" applyNumberFormat="1" applyAlignment="1">
      <alignment horizontal="left" vertical="top"/>
    </xf>
    <xf numFmtId="0" fontId="4" fillId="0" borderId="9" xfId="0" applyFont="1" applyBorder="1"/>
    <xf numFmtId="0" fontId="4" fillId="0" borderId="10" xfId="0" applyFont="1" applyBorder="1"/>
    <xf numFmtId="0" fontId="4" fillId="0" borderId="11" xfId="0" applyFont="1" applyBorder="1"/>
    <xf numFmtId="0" fontId="0" fillId="0" borderId="12" xfId="0" applyBorder="1" applyAlignment="1">
      <alignment horizontal="left" vertical="top"/>
    </xf>
    <xf numFmtId="0" fontId="0" fillId="0" borderId="8" xfId="0" applyBorder="1"/>
    <xf numFmtId="0" fontId="0" fillId="0" borderId="13" xfId="0" applyBorder="1"/>
    <xf numFmtId="0" fontId="0" fillId="0" borderId="12" xfId="0" applyBorder="1"/>
    <xf numFmtId="0" fontId="0" fillId="3" borderId="0" xfId="0" applyFill="1"/>
    <xf numFmtId="0" fontId="0" fillId="4" borderId="0" xfId="0" applyFill="1"/>
    <xf numFmtId="0" fontId="0" fillId="4" borderId="4" xfId="0" applyFill="1" applyBorder="1"/>
    <xf numFmtId="0" fontId="0" fillId="5" borderId="0" xfId="0" applyFill="1"/>
    <xf numFmtId="0" fontId="0" fillId="5" borderId="4" xfId="0" applyFill="1" applyBorder="1"/>
    <xf numFmtId="0" fontId="0" fillId="3" borderId="0" xfId="0" applyFill="1" applyAlignment="1">
      <alignment wrapText="1"/>
    </xf>
    <xf numFmtId="0" fontId="0" fillId="7" borderId="6" xfId="0" applyFill="1" applyBorder="1"/>
    <xf numFmtId="0" fontId="0" fillId="7" borderId="6" xfId="0" applyFill="1" applyBorder="1" applyAlignment="1">
      <alignment wrapText="1"/>
    </xf>
    <xf numFmtId="0" fontId="6" fillId="8" borderId="15" xfId="0" applyFont="1" applyFill="1" applyBorder="1"/>
    <xf numFmtId="0" fontId="6" fillId="8" borderId="16" xfId="0" applyFont="1" applyFill="1" applyBorder="1"/>
    <xf numFmtId="0" fontId="6" fillId="8" borderId="16" xfId="0" applyFont="1" applyFill="1" applyBorder="1" applyAlignment="1">
      <alignment horizontal="left"/>
    </xf>
    <xf numFmtId="0" fontId="0" fillId="9" borderId="0" xfId="0" applyFill="1" applyAlignment="1">
      <alignment horizontal="left"/>
    </xf>
    <xf numFmtId="0" fontId="0" fillId="9" borderId="0" xfId="0" applyFill="1" applyAlignment="1">
      <alignment horizontal="right"/>
    </xf>
    <xf numFmtId="0" fontId="6" fillId="8" borderId="16" xfId="0" applyFont="1" applyFill="1" applyBorder="1" applyAlignment="1">
      <alignment horizontal="right"/>
    </xf>
    <xf numFmtId="0" fontId="0" fillId="0" borderId="0" xfId="0" applyAlignment="1">
      <alignment wrapText="1"/>
    </xf>
    <xf numFmtId="0" fontId="0" fillId="0" borderId="17" xfId="0" applyBorder="1" applyAlignment="1">
      <alignment horizontal="left" vertical="top" wrapText="1"/>
    </xf>
    <xf numFmtId="0" fontId="2" fillId="0" borderId="17" xfId="0" applyFont="1" applyBorder="1" applyAlignment="1">
      <alignment horizontal="left" vertical="top" wrapText="1"/>
    </xf>
    <xf numFmtId="164" fontId="0" fillId="0" borderId="17" xfId="0" applyNumberFormat="1" applyBorder="1" applyAlignment="1">
      <alignment horizontal="left" vertical="top" wrapText="1"/>
    </xf>
    <xf numFmtId="0" fontId="0" fillId="0" borderId="17" xfId="0" quotePrefix="1" applyBorder="1" applyAlignment="1">
      <alignment horizontal="left" vertical="top" wrapText="1"/>
    </xf>
    <xf numFmtId="0" fontId="2" fillId="10" borderId="0" xfId="0" applyFont="1" applyFill="1" applyAlignment="1">
      <alignment horizontal="left" vertical="top" wrapText="1"/>
    </xf>
    <xf numFmtId="164" fontId="0" fillId="0" borderId="17" xfId="0" quotePrefix="1" applyNumberFormat="1" applyBorder="1" applyAlignment="1">
      <alignment horizontal="left" vertical="top" wrapText="1"/>
    </xf>
    <xf numFmtId="0" fontId="0" fillId="9" borderId="0" xfId="0" applyFill="1"/>
    <xf numFmtId="0" fontId="0" fillId="6" borderId="5" xfId="0" applyFill="1" applyBorder="1"/>
    <xf numFmtId="0" fontId="0" fillId="6" borderId="6" xfId="0" applyFill="1" applyBorder="1" applyAlignment="1">
      <alignment wrapText="1"/>
    </xf>
    <xf numFmtId="0" fontId="0" fillId="6" borderId="6" xfId="0" applyFill="1" applyBorder="1"/>
    <xf numFmtId="0" fontId="0" fillId="6" borderId="7" xfId="0" applyFill="1" applyBorder="1" applyAlignment="1">
      <alignment wrapText="1"/>
    </xf>
    <xf numFmtId="0" fontId="2" fillId="0" borderId="0" xfId="0" quotePrefix="1" applyFont="1" applyAlignment="1">
      <alignment horizontal="left" vertical="top" wrapText="1"/>
    </xf>
    <xf numFmtId="0" fontId="0" fillId="0" borderId="8" xfId="0" applyBorder="1" applyAlignment="1">
      <alignment vertical="top"/>
    </xf>
    <xf numFmtId="0" fontId="0" fillId="0" borderId="8" xfId="0" applyBorder="1" applyAlignment="1">
      <alignment vertical="top" wrapText="1"/>
    </xf>
    <xf numFmtId="0" fontId="4" fillId="0" borderId="19" xfId="0" applyFont="1" applyBorder="1"/>
    <xf numFmtId="0" fontId="10" fillId="0" borderId="0" xfId="0" applyFont="1"/>
    <xf numFmtId="0" fontId="6" fillId="8" borderId="14" xfId="0" quotePrefix="1" applyFont="1" applyFill="1" applyBorder="1" applyAlignment="1">
      <alignment horizontal="center" vertical="center"/>
    </xf>
    <xf numFmtId="0" fontId="10" fillId="0" borderId="0" xfId="0" quotePrefix="1" applyFont="1" applyAlignment="1">
      <alignment horizontal="center"/>
    </xf>
    <xf numFmtId="0" fontId="0" fillId="0" borderId="0" xfId="0" applyAlignment="1">
      <alignment horizontal="left" wrapText="1"/>
    </xf>
    <xf numFmtId="0" fontId="0" fillId="0" borderId="0" xfId="0" pivotButton="1" applyAlignment="1">
      <alignment wrapText="1"/>
    </xf>
    <xf numFmtId="0" fontId="0" fillId="9" borderId="18" xfId="0" applyFill="1" applyBorder="1" applyAlignment="1">
      <alignment horizontal="left" vertical="top" wrapText="1"/>
    </xf>
    <xf numFmtId="0" fontId="2" fillId="9" borderId="18" xfId="0" applyFont="1" applyFill="1" applyBorder="1" applyAlignment="1">
      <alignment horizontal="left" vertical="top" wrapText="1"/>
    </xf>
    <xf numFmtId="0" fontId="0" fillId="9" borderId="10" xfId="0" applyFill="1" applyBorder="1" applyAlignment="1">
      <alignment horizontal="left" vertical="top" wrapText="1"/>
    </xf>
    <xf numFmtId="0" fontId="6" fillId="8" borderId="15" xfId="0" applyFont="1" applyFill="1" applyBorder="1" applyAlignment="1">
      <alignment horizontal="right"/>
    </xf>
    <xf numFmtId="10" fontId="0" fillId="9" borderId="0" xfId="1" applyNumberFormat="1" applyFont="1" applyFill="1" applyAlignment="1">
      <alignment horizontal="right"/>
    </xf>
    <xf numFmtId="10" fontId="6" fillId="8" borderId="16" xfId="1" applyNumberFormat="1" applyFont="1" applyFill="1" applyBorder="1" applyAlignment="1">
      <alignment horizontal="right"/>
    </xf>
    <xf numFmtId="0" fontId="6" fillId="8" borderId="15" xfId="0" applyFont="1" applyFill="1" applyBorder="1" applyAlignment="1">
      <alignment horizontal="right" wrapText="1"/>
    </xf>
    <xf numFmtId="0" fontId="4" fillId="0" borderId="23" xfId="0" applyFont="1" applyBorder="1"/>
    <xf numFmtId="0" fontId="4" fillId="0" borderId="24" xfId="0" applyFont="1" applyBorder="1"/>
    <xf numFmtId="0" fontId="0" fillId="0" borderId="25" xfId="0" applyBorder="1" applyAlignment="1">
      <alignment vertical="top"/>
    </xf>
    <xf numFmtId="0" fontId="0" fillId="0" borderId="26" xfId="0" applyBorder="1" applyAlignment="1">
      <alignment vertical="top" wrapText="1"/>
    </xf>
    <xf numFmtId="0" fontId="0" fillId="0" borderId="25" xfId="0" applyBorder="1" applyAlignment="1">
      <alignment vertical="top" wrapText="1"/>
    </xf>
    <xf numFmtId="0" fontId="0" fillId="0" borderId="27" xfId="0" applyBorder="1" applyAlignment="1">
      <alignment horizontal="left" vertical="top"/>
    </xf>
    <xf numFmtId="0" fontId="0" fillId="0" borderId="28" xfId="0" applyBorder="1" applyAlignment="1">
      <alignment horizontal="left" vertical="top"/>
    </xf>
    <xf numFmtId="0" fontId="0" fillId="0" borderId="29" xfId="0" applyBorder="1" applyAlignment="1">
      <alignment horizontal="left" wrapText="1"/>
    </xf>
    <xf numFmtId="0" fontId="9" fillId="0" borderId="0" xfId="0" applyFont="1" applyAlignment="1">
      <alignment horizontal="left" vertical="top"/>
    </xf>
    <xf numFmtId="10" fontId="0" fillId="0" borderId="0" xfId="0" applyNumberFormat="1" applyAlignment="1">
      <alignment horizontal="right"/>
    </xf>
    <xf numFmtId="10" fontId="0" fillId="9" borderId="0" xfId="0" applyNumberFormat="1" applyFill="1" applyAlignment="1">
      <alignment horizontal="right"/>
    </xf>
    <xf numFmtId="0" fontId="0" fillId="9" borderId="0" xfId="0" applyFill="1" applyAlignment="1">
      <alignment horizontal="center"/>
    </xf>
    <xf numFmtId="0" fontId="4" fillId="11" borderId="0" xfId="0" applyFont="1" applyFill="1" applyAlignment="1">
      <alignment horizontal="left"/>
    </xf>
    <xf numFmtId="0" fontId="4" fillId="12" borderId="0" xfId="0" applyFont="1" applyFill="1"/>
    <xf numFmtId="0" fontId="6" fillId="12" borderId="0" xfId="0" applyFont="1" applyFill="1" applyAlignment="1">
      <alignment horizontal="right"/>
    </xf>
    <xf numFmtId="0" fontId="6" fillId="12" borderId="0" xfId="0" applyFont="1" applyFill="1" applyAlignment="1">
      <alignment horizontal="center"/>
    </xf>
    <xf numFmtId="0" fontId="4" fillId="11" borderId="0" xfId="0" applyFont="1" applyFill="1" applyAlignment="1">
      <alignment horizontal="center"/>
    </xf>
    <xf numFmtId="0" fontId="4" fillId="12" borderId="0" xfId="0" applyFont="1" applyFill="1" applyAlignment="1">
      <alignment horizontal="center"/>
    </xf>
    <xf numFmtId="0" fontId="0" fillId="0" borderId="0" xfId="0" applyAlignment="1">
      <alignment horizontal="center" wrapText="1"/>
    </xf>
    <xf numFmtId="0" fontId="0" fillId="0" borderId="15" xfId="0" applyBorder="1"/>
    <xf numFmtId="0" fontId="6" fillId="0" borderId="0" xfId="0" applyFont="1" applyAlignment="1">
      <alignment horizontal="right"/>
    </xf>
    <xf numFmtId="0" fontId="8" fillId="0" borderId="0" xfId="0" applyFont="1" applyAlignment="1">
      <alignment horizontal="center"/>
    </xf>
    <xf numFmtId="0" fontId="6" fillId="8" borderId="15" xfId="0" applyFont="1" applyFill="1" applyBorder="1" applyAlignment="1">
      <alignment horizontal="center"/>
    </xf>
    <xf numFmtId="0" fontId="6" fillId="8" borderId="16" xfId="0" applyFont="1" applyFill="1" applyBorder="1" applyAlignment="1">
      <alignment horizontal="center"/>
    </xf>
    <xf numFmtId="0" fontId="0" fillId="0" borderId="17" xfId="0" applyBorder="1" applyAlignment="1">
      <alignment horizontal="left" vertical="top"/>
    </xf>
    <xf numFmtId="0" fontId="0" fillId="0" borderId="0" xfId="0" pivotButton="1" applyAlignment="1">
      <alignment horizontal="center"/>
    </xf>
    <xf numFmtId="0" fontId="6" fillId="12" borderId="0" xfId="0" applyFont="1" applyFill="1" applyAlignment="1">
      <alignment horizontal="center" wrapText="1"/>
    </xf>
    <xf numFmtId="0" fontId="7" fillId="2" borderId="1" xfId="0" applyFont="1" applyFill="1" applyBorder="1" applyAlignment="1">
      <alignment horizontal="center"/>
    </xf>
    <xf numFmtId="0" fontId="7" fillId="2" borderId="2" xfId="0" applyFont="1" applyFill="1" applyBorder="1" applyAlignment="1">
      <alignment horizontal="center"/>
    </xf>
    <xf numFmtId="0" fontId="7" fillId="2" borderId="3" xfId="0" applyFont="1" applyFill="1" applyBorder="1" applyAlignment="1">
      <alignment horizontal="center"/>
    </xf>
    <xf numFmtId="0" fontId="4" fillId="0" borderId="0" xfId="0" applyFont="1" applyAlignment="1">
      <alignment horizontal="center"/>
    </xf>
    <xf numFmtId="0" fontId="7" fillId="2" borderId="5" xfId="0" applyFont="1" applyFill="1" applyBorder="1" applyAlignment="1">
      <alignment horizontal="center"/>
    </xf>
    <xf numFmtId="0" fontId="7" fillId="2" borderId="6" xfId="0" applyFont="1" applyFill="1" applyBorder="1" applyAlignment="1">
      <alignment horizontal="center"/>
    </xf>
    <xf numFmtId="0" fontId="7" fillId="2" borderId="7" xfId="0" applyFont="1" applyFill="1" applyBorder="1" applyAlignment="1">
      <alignment horizontal="center"/>
    </xf>
    <xf numFmtId="0" fontId="7" fillId="2" borderId="20" xfId="0" applyFont="1" applyFill="1" applyBorder="1" applyAlignment="1">
      <alignment horizontal="center"/>
    </xf>
    <xf numFmtId="0" fontId="7" fillId="2" borderId="21" xfId="0" applyFont="1" applyFill="1" applyBorder="1" applyAlignment="1">
      <alignment horizontal="center"/>
    </xf>
    <xf numFmtId="0" fontId="7" fillId="2" borderId="22" xfId="0" applyFont="1" applyFill="1" applyBorder="1" applyAlignment="1">
      <alignment horizontal="center"/>
    </xf>
    <xf numFmtId="0" fontId="0" fillId="0" borderId="26" xfId="0" applyBorder="1" applyAlignment="1">
      <alignment horizontal="left" vertical="top" wrapText="1"/>
    </xf>
    <xf numFmtId="0" fontId="0" fillId="0" borderId="8" xfId="0" applyBorder="1" applyAlignment="1">
      <alignment horizontal="left" vertical="top"/>
    </xf>
    <xf numFmtId="0" fontId="0" fillId="0" borderId="25" xfId="0" applyBorder="1" applyAlignment="1">
      <alignment horizontal="left" vertical="top"/>
    </xf>
    <xf numFmtId="0" fontId="0" fillId="0" borderId="8" xfId="0" applyBorder="1" applyAlignment="1">
      <alignment horizontal="left" vertical="top" wrapText="1"/>
    </xf>
    <xf numFmtId="0" fontId="0" fillId="0" borderId="25" xfId="0" applyBorder="1" applyAlignment="1">
      <alignment horizontal="left" vertical="top" wrapText="1"/>
    </xf>
    <xf numFmtId="0" fontId="10" fillId="0" borderId="0" xfId="0" applyFont="1" applyAlignment="1">
      <alignment horizontal="left"/>
    </xf>
    <xf numFmtId="0" fontId="0" fillId="0" borderId="0" xfId="0" applyAlignment="1">
      <alignment horizontal="center"/>
    </xf>
  </cellXfs>
  <cellStyles count="2">
    <cellStyle name="Normal" xfId="0" builtinId="0"/>
    <cellStyle name="Per cent" xfId="1" builtinId="5"/>
  </cellStyles>
  <dxfs count="151">
    <dxf>
      <alignment horizontal="center"/>
    </dxf>
    <dxf>
      <alignment horizontal="center"/>
    </dxf>
    <dxf>
      <alignment horizontal="center"/>
    </dxf>
    <dxf>
      <alignment horizontal="center"/>
    </dxf>
    <dxf>
      <alignment horizontal="right"/>
    </dxf>
    <dxf>
      <alignment horizontal="center"/>
    </dxf>
    <dxf>
      <alignment horizontal="center"/>
    </dxf>
    <dxf>
      <alignment horizontal="center"/>
    </dxf>
    <dxf>
      <alignment horizontal="center"/>
    </dxf>
    <dxf>
      <alignment horizontal="right"/>
    </dxf>
    <dxf>
      <font>
        <color theme="2" tint="-0.249977111117893"/>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fill>
        <patternFill patternType="none">
          <fgColor indexed="64"/>
          <bgColor indexed="65"/>
        </patternFill>
      </fill>
    </dxf>
    <dxf>
      <alignment horizontal="center"/>
    </dxf>
    <dxf>
      <border>
        <bottom style="thin">
          <color theme="0" tint="-0.34998626667073579"/>
        </bottom>
      </border>
    </dxf>
    <dxf>
      <border>
        <bottom style="thin">
          <color theme="0" tint="-0.34998626667073579"/>
        </bottom>
      </border>
    </dxf>
    <dxf>
      <border>
        <bottom style="thin">
          <color theme="0" tint="-0.34998626667073579"/>
        </bottom>
      </border>
    </dxf>
    <dxf>
      <border>
        <bottom style="thin">
          <color theme="0" tint="-0.34998626667073579"/>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right"/>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right"/>
    </dxf>
    <dxf>
      <alignment horizontal="right"/>
    </dxf>
    <dxf>
      <alignment horizontal="center"/>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alignment horizontal="center"/>
    </dxf>
    <dxf>
      <fill>
        <patternFill patternType="solid">
          <fgColor indexed="64"/>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horizontal="center"/>
    </dxf>
    <dxf>
      <alignment horizontal="center"/>
    </dxf>
    <dxf>
      <alignment horizontal="center"/>
    </dxf>
    <dxf>
      <alignment horizontal="center"/>
    </dxf>
    <dxf>
      <alignment horizontal="right"/>
    </dxf>
    <dxf>
      <alignment horizontal="center"/>
    </dxf>
    <dxf>
      <alignment wrapText="0"/>
    </dxf>
    <dxf>
      <fill>
        <patternFill patternType="solid">
          <bgColor theme="0"/>
        </patternFill>
      </fill>
    </dxf>
    <dxf>
      <fill>
        <patternFill patternType="solid">
          <bgColor theme="0"/>
        </patternFill>
      </fill>
    </dxf>
    <dxf>
      <alignment horizontal="right"/>
    </dxf>
    <dxf>
      <fill>
        <patternFill patternType="solid">
          <bgColor theme="0"/>
        </patternFill>
      </fill>
    </dxf>
    <dxf>
      <numFmt numFmtId="0" formatCode="General"/>
    </dxf>
    <dxf>
      <numFmt numFmtId="14" formatCode="0.00%"/>
    </dxf>
    <dxf>
      <fill>
        <patternFill patternType="solid">
          <bgColor theme="0"/>
        </patternFill>
      </fill>
    </dxf>
    <dxf>
      <alignment horizontal="right"/>
    </dxf>
    <dxf>
      <border>
        <bottom/>
      </border>
    </dxf>
    <dxf>
      <border>
        <bottom/>
      </border>
    </dxf>
    <dxf>
      <font>
        <b val="0"/>
      </font>
    </dxf>
    <dxf>
      <border>
        <bottom style="thin">
          <color theme="2" tint="-9.9978637043366805E-2"/>
        </bottom>
      </border>
    </dxf>
    <dxf>
      <fill>
        <patternFill>
          <bgColor theme="0"/>
        </patternFill>
      </fill>
    </dxf>
    <dxf>
      <fill>
        <patternFill patternType="solid">
          <fgColor indexed="64"/>
          <bgColor theme="0"/>
        </patternFill>
      </fill>
    </dxf>
    <dxf>
      <alignment horizontal="left"/>
    </dxf>
    <dxf>
      <alignment wrapTex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0" formatCode="General"/>
      <fill>
        <patternFill>
          <bgColor theme="0"/>
        </patternFill>
      </fill>
    </dxf>
    <dxf>
      <fill>
        <patternFill>
          <bgColor theme="0"/>
        </patternFill>
      </fill>
      <alignment horizontal="center" vertical="bottom" textRotation="0" wrapText="0" indent="0" justifyLastLine="0" shrinkToFit="0" readingOrder="0"/>
    </dxf>
    <dxf>
      <fill>
        <patternFill>
          <bgColor theme="0"/>
        </patternFill>
      </fill>
      <alignment horizontal="center" vertical="bottom" textRotation="0" wrapText="0" indent="0" justifyLastLine="0" shrinkToFit="0" readingOrder="0"/>
    </dxf>
    <dxf>
      <fill>
        <patternFill>
          <bgColor theme="0"/>
        </patternFill>
      </fill>
      <alignment horizontal="center" vertical="bottom" textRotation="0" wrapText="0" indent="0" justifyLastLine="0" shrinkToFit="0" readingOrder="0"/>
    </dxf>
    <dxf>
      <fill>
        <patternFill>
          <bgColor theme="0"/>
        </patternFill>
      </fill>
      <alignment horizontal="center" vertical="bottom" textRotation="0" wrapText="0" indent="0" justifyLastLine="0" shrinkToFit="0" readingOrder="0"/>
    </dxf>
    <dxf>
      <fill>
        <patternFill>
          <bgColor theme="0"/>
        </patternFill>
      </fill>
      <alignment horizontal="left" vertical="bottom" textRotation="0" wrapText="0" indent="0" justifyLastLine="0" shrinkToFit="0" readingOrder="0"/>
    </dxf>
    <dxf>
      <fill>
        <patternFill>
          <bgColor theme="0"/>
        </patternFill>
      </fill>
    </dxf>
    <dxf>
      <font>
        <b/>
        <i val="0"/>
        <strike val="0"/>
        <condense val="0"/>
        <extend val="0"/>
        <outline val="0"/>
        <shadow val="0"/>
        <u val="none"/>
        <vertAlign val="baseline"/>
        <sz val="12"/>
        <color theme="1"/>
        <name val="Aptos Narrow"/>
        <family val="2"/>
        <scheme val="minor"/>
      </font>
      <fill>
        <patternFill patternType="solid">
          <fgColor theme="4" tint="0.79998168889431442"/>
          <bgColor theme="0" tint="-0.14999847407452621"/>
        </patternFill>
      </fill>
    </dxf>
    <dxf>
      <alignment horizontal="center"/>
    </dxf>
    <dxf>
      <alignment horizontal="center"/>
    </dxf>
    <dxf>
      <alignment horizontal="center"/>
    </dxf>
    <dxf>
      <font>
        <b val="0"/>
        <i val="0"/>
        <strike val="0"/>
        <condense val="0"/>
        <extend val="0"/>
        <outline val="0"/>
        <shadow val="0"/>
        <u val="none"/>
        <vertAlign val="baseline"/>
        <sz val="12"/>
        <color rgb="FF000000"/>
        <name val="Aptos Narrow"/>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Aptos Narrow"/>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Aptos Narrow"/>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Aptos Narrow"/>
        <family val="2"/>
        <scheme val="minor"/>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164" formatCode="0.000000000000"/>
      <alignment horizontal="left" vertical="top" textRotation="0" wrapText="1" indent="0" justifyLastLine="0" shrinkToFit="0" readingOrder="0"/>
    </dxf>
    <dxf>
      <alignment horizontal="left" vertical="top" textRotation="0" wrapText="1" indent="0" justifyLastLine="0" shrinkToFit="0" readingOrder="0"/>
    </dxf>
    <dxf>
      <font>
        <b val="0"/>
        <i val="0"/>
        <strike val="0"/>
        <condense val="0"/>
        <extend val="0"/>
        <outline val="0"/>
        <shadow val="0"/>
        <u val="none"/>
        <vertAlign val="baseline"/>
        <sz val="12"/>
        <color rgb="FF000000"/>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rgb="FF000000"/>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rgb="FF000000"/>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rgb="FF000000"/>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rgb="FF000000"/>
        <name val="Aptos Narrow"/>
        <family val="2"/>
        <scheme val="minor"/>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2"/>
        <color rgb="FF000000"/>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rgb="FF000000"/>
        <name val="Aptos Narrow"/>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Aptos Narrow"/>
        <family val="2"/>
        <scheme val="minor"/>
      </font>
      <alignment horizontal="left" vertical="top" textRotation="0" wrapText="0" indent="0" justifyLastLine="0" shrinkToFit="0" readingOrder="0"/>
    </dxf>
    <dxf>
      <alignment horizontal="left" vertical="top" textRotation="0" wrapText="0" indent="0" justifyLastLine="0" shrinkToFit="0" readingOrder="0"/>
    </dxf>
    <dxf>
      <font>
        <b val="0"/>
        <i val="0"/>
        <strike val="0"/>
        <condense val="0"/>
        <extend val="0"/>
        <outline val="0"/>
        <shadow val="0"/>
        <u val="none"/>
        <vertAlign val="baseline"/>
        <sz val="12"/>
        <color rgb="FF000000"/>
        <name val="Aptos Narrow"/>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Aptos Narrow"/>
        <family val="2"/>
        <scheme val="minor"/>
      </font>
      <alignment horizontal="left" vertical="top" textRotation="0" wrapText="0" indent="0" justifyLastLine="0" shrinkToFit="0" readingOrder="0"/>
    </dxf>
    <dxf>
      <numFmt numFmtId="30" formatCode="@"/>
      <alignment horizontal="left" vertical="top" textRotation="0" wrapText="0" indent="0" justifyLastLine="0" shrinkToFit="0" readingOrder="0"/>
    </dxf>
    <dxf>
      <font>
        <b val="0"/>
        <i val="0"/>
        <strike val="0"/>
        <condense val="0"/>
        <extend val="0"/>
        <outline val="0"/>
        <shadow val="0"/>
        <u val="none"/>
        <vertAlign val="baseline"/>
        <sz val="12"/>
        <color rgb="FF000000"/>
        <name val="Aptos Narrow"/>
        <family val="2"/>
        <scheme val="minor"/>
      </font>
      <alignment horizontal="left" vertical="top" textRotation="0" wrapText="0" indent="0" justifyLastLine="0" shrinkToFit="0" readingOrder="0"/>
    </dxf>
    <dxf>
      <alignment horizontal="left" vertical="top" textRotation="0" wrapText="1" indent="0" justifyLastLine="0" shrinkToFit="0" readingOrder="0"/>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2"/>
        <color theme="1"/>
        <name val="Aptos Narrow"/>
        <scheme val="minor"/>
      </font>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2"/>
        <color theme="1"/>
        <name val="Aptos Narrow"/>
        <scheme val="minor"/>
      </font>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2"/>
        <color theme="1"/>
        <name val="Aptos Narrow"/>
        <scheme val="minor"/>
      </font>
      <border diagonalUp="0" diagonalDown="0">
        <left style="thin">
          <color indexed="64"/>
        </left>
        <right style="thin">
          <color indexed="64"/>
        </right>
        <top/>
        <bottom/>
        <vertical style="thin">
          <color indexed="64"/>
        </vertical>
        <horizontal style="thin">
          <color indexed="64"/>
        </horizontal>
      </border>
    </dxf>
    <dxf>
      <alignment wrapText="1"/>
    </dxf>
    <dxf>
      <alignment horizontal="right"/>
    </dxf>
    <dxf>
      <alignment horizontal="center"/>
    </dxf>
    <dxf>
      <alignment horizontal="center"/>
    </dxf>
    <dxf>
      <alignment horizontal="center"/>
    </dxf>
    <dxf>
      <alignment horizontal="center"/>
    </dxf>
    <dxf>
      <numFmt numFmtId="14" formatCode="0.00%"/>
    </dxf>
    <dxf>
      <alignment wrapText="1"/>
    </dxf>
    <dxf>
      <alignment horizontal="center"/>
    </dxf>
    <dxf>
      <alignment wrapText="1"/>
    </dxf>
    <dxf>
      <alignment horizontal="right"/>
    </dxf>
    <dxf>
      <alignment horizontal="center"/>
    </dxf>
    <dxf>
      <alignment horizontal="center"/>
    </dxf>
    <dxf>
      <alignment wrapText="1"/>
    </dxf>
  </dxfs>
  <tableStyles count="0" defaultTableStyle="TableStyleMedium2" defaultPivotStyle="PivotStyleLight16"/>
  <colors>
    <mruColors>
      <color rgb="FFFF5C00"/>
      <color rgb="FFA500E3"/>
      <color rgb="FFAD00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[Kate Dale_Honours Dataset_FINAL 29.5.26.xlsx]period!PivotTable11</c:name>
    <c:fmtId val="0"/>
  </c:pivotSource>
  <c:chart>
    <c:autoTitleDeleted val="1"/>
    <c:pivotFmts>
      <c:pivotFmt>
        <c:idx val="0"/>
        <c:spPr>
          <a:solidFill>
            <a:schemeClr val="accent5"/>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450736049298182E-2"/>
          <c:y val="8.0174421962535852E-2"/>
          <c:w val="0.91246230742896273"/>
          <c:h val="0.74899601486244527"/>
        </c:manualLayout>
      </c:layout>
      <c:barChart>
        <c:barDir val="col"/>
        <c:grouping val="stacked"/>
        <c:varyColors val="0"/>
        <c:ser>
          <c:idx val="0"/>
          <c:order val="0"/>
          <c:tx>
            <c:strRef>
              <c:f>period!$C$20:$C$21</c:f>
              <c:strCache>
                <c:ptCount val="1"/>
                <c:pt idx="0">
                  <c:v>Ceremonial</c:v>
                </c:pt>
              </c:strCache>
            </c:strRef>
          </c:tx>
          <c:spPr>
            <a:solidFill>
              <a:schemeClr val="accent5"/>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period!$B$22:$B$32</c:f>
              <c:strCache>
                <c:ptCount val="10"/>
                <c:pt idx="0">
                  <c:v>Dreamtime</c:v>
                </c:pt>
                <c:pt idx="1">
                  <c:v>Unknown pre-1840</c:v>
                </c:pt>
                <c:pt idx="2">
                  <c:v>1840-1849</c:v>
                </c:pt>
                <c:pt idx="3">
                  <c:v>1850-1859</c:v>
                </c:pt>
                <c:pt idx="4">
                  <c:v>1860-1869</c:v>
                </c:pt>
                <c:pt idx="5">
                  <c:v>1870-1879</c:v>
                </c:pt>
                <c:pt idx="6">
                  <c:v>1880-1889</c:v>
                </c:pt>
                <c:pt idx="7">
                  <c:v>1890-1899</c:v>
                </c:pt>
                <c:pt idx="8">
                  <c:v>1900</c:v>
                </c:pt>
                <c:pt idx="9">
                  <c:v>Unknown 1840-1900</c:v>
                </c:pt>
              </c:strCache>
            </c:strRef>
          </c:cat>
          <c:val>
            <c:numRef>
              <c:f>period!$C$22:$C$32</c:f>
              <c:numCache>
                <c:formatCode>General</c:formatCode>
                <c:ptCount val="10"/>
                <c:pt idx="0">
                  <c:v>33</c:v>
                </c:pt>
                <c:pt idx="1">
                  <c:v>11</c:v>
                </c:pt>
                <c:pt idx="3">
                  <c:v>1</c:v>
                </c:pt>
                <c:pt idx="4">
                  <c:v>3</c:v>
                </c:pt>
                <c:pt idx="5">
                  <c:v>1</c:v>
                </c:pt>
                <c:pt idx="7">
                  <c:v>3</c:v>
                </c:pt>
                <c:pt idx="8">
                  <c:v>1</c:v>
                </c:pt>
                <c:pt idx="9">
                  <c:v>3</c:v>
                </c:pt>
              </c:numCache>
            </c:numRef>
          </c:val>
          <c:extLst>
            <c:ext xmlns:c16="http://schemas.microsoft.com/office/drawing/2014/chart" uri="{C3380CC4-5D6E-409C-BE32-E72D297353CC}">
              <c16:uniqueId val="{00000000-F950-E543-82F7-E109AD168302}"/>
            </c:ext>
          </c:extLst>
        </c:ser>
        <c:ser>
          <c:idx val="1"/>
          <c:order val="1"/>
          <c:tx>
            <c:strRef>
              <c:f>period!$D$20:$D$21</c:f>
              <c:strCache>
                <c:ptCount val="1"/>
                <c:pt idx="0">
                  <c:v>Community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period!$B$22:$B$32</c:f>
              <c:strCache>
                <c:ptCount val="10"/>
                <c:pt idx="0">
                  <c:v>Dreamtime</c:v>
                </c:pt>
                <c:pt idx="1">
                  <c:v>Unknown pre-1840</c:v>
                </c:pt>
                <c:pt idx="2">
                  <c:v>1840-1849</c:v>
                </c:pt>
                <c:pt idx="3">
                  <c:v>1850-1859</c:v>
                </c:pt>
                <c:pt idx="4">
                  <c:v>1860-1869</c:v>
                </c:pt>
                <c:pt idx="5">
                  <c:v>1870-1879</c:v>
                </c:pt>
                <c:pt idx="6">
                  <c:v>1880-1889</c:v>
                </c:pt>
                <c:pt idx="7">
                  <c:v>1890-1899</c:v>
                </c:pt>
                <c:pt idx="8">
                  <c:v>1900</c:v>
                </c:pt>
                <c:pt idx="9">
                  <c:v>Unknown 1840-1900</c:v>
                </c:pt>
              </c:strCache>
            </c:strRef>
          </c:cat>
          <c:val>
            <c:numRef>
              <c:f>period!$D$22:$D$32</c:f>
              <c:numCache>
                <c:formatCode>General</c:formatCode>
                <c:ptCount val="10"/>
                <c:pt idx="1">
                  <c:v>4</c:v>
                </c:pt>
                <c:pt idx="2">
                  <c:v>25</c:v>
                </c:pt>
                <c:pt idx="3">
                  <c:v>3</c:v>
                </c:pt>
                <c:pt idx="4">
                  <c:v>4</c:v>
                </c:pt>
                <c:pt idx="5">
                  <c:v>8</c:v>
                </c:pt>
                <c:pt idx="6">
                  <c:v>24</c:v>
                </c:pt>
                <c:pt idx="7">
                  <c:v>70</c:v>
                </c:pt>
                <c:pt idx="8">
                  <c:v>11</c:v>
                </c:pt>
                <c:pt idx="9">
                  <c:v>6</c:v>
                </c:pt>
              </c:numCache>
            </c:numRef>
          </c:val>
          <c:extLst>
            <c:ext xmlns:c16="http://schemas.microsoft.com/office/drawing/2014/chart" uri="{C3380CC4-5D6E-409C-BE32-E72D297353CC}">
              <c16:uniqueId val="{00000001-F950-E543-82F7-E109AD168302}"/>
            </c:ext>
          </c:extLst>
        </c:ser>
        <c:ser>
          <c:idx val="2"/>
          <c:order val="2"/>
          <c:tx>
            <c:strRef>
              <c:f>period!$E$20:$E$21</c:f>
              <c:strCache>
                <c:ptCount val="1"/>
                <c:pt idx="0">
                  <c:v>Massacre</c:v>
                </c:pt>
              </c:strCache>
            </c:strRef>
          </c:tx>
          <c:spPr>
            <a:solidFill>
              <a:schemeClr val="tx1"/>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period!$B$22:$B$32</c:f>
              <c:strCache>
                <c:ptCount val="10"/>
                <c:pt idx="0">
                  <c:v>Dreamtime</c:v>
                </c:pt>
                <c:pt idx="1">
                  <c:v>Unknown pre-1840</c:v>
                </c:pt>
                <c:pt idx="2">
                  <c:v>1840-1849</c:v>
                </c:pt>
                <c:pt idx="3">
                  <c:v>1850-1859</c:v>
                </c:pt>
                <c:pt idx="4">
                  <c:v>1860-1869</c:v>
                </c:pt>
                <c:pt idx="5">
                  <c:v>1870-1879</c:v>
                </c:pt>
                <c:pt idx="6">
                  <c:v>1880-1889</c:v>
                </c:pt>
                <c:pt idx="7">
                  <c:v>1890-1899</c:v>
                </c:pt>
                <c:pt idx="8">
                  <c:v>1900</c:v>
                </c:pt>
                <c:pt idx="9">
                  <c:v>Unknown 1840-1900</c:v>
                </c:pt>
              </c:strCache>
            </c:strRef>
          </c:cat>
          <c:val>
            <c:numRef>
              <c:f>period!$E$22:$E$32</c:f>
              <c:numCache>
                <c:formatCode>General</c:formatCode>
                <c:ptCount val="10"/>
                <c:pt idx="1">
                  <c:v>1</c:v>
                </c:pt>
                <c:pt idx="3">
                  <c:v>14</c:v>
                </c:pt>
                <c:pt idx="4">
                  <c:v>1</c:v>
                </c:pt>
                <c:pt idx="6">
                  <c:v>2</c:v>
                </c:pt>
                <c:pt idx="7">
                  <c:v>1</c:v>
                </c:pt>
                <c:pt idx="9">
                  <c:v>8</c:v>
                </c:pt>
              </c:numCache>
            </c:numRef>
          </c:val>
          <c:extLst>
            <c:ext xmlns:c16="http://schemas.microsoft.com/office/drawing/2014/chart" uri="{C3380CC4-5D6E-409C-BE32-E72D297353CC}">
              <c16:uniqueId val="{00000002-F950-E543-82F7-E109AD168302}"/>
            </c:ext>
          </c:extLst>
        </c:ser>
        <c:ser>
          <c:idx val="3"/>
          <c:order val="3"/>
          <c:tx>
            <c:strRef>
              <c:f>period!$F$20:$F$21</c:f>
              <c:strCache>
                <c:ptCount val="1"/>
                <c:pt idx="0">
                  <c:v>Place</c:v>
                </c:pt>
              </c:strCache>
            </c:strRef>
          </c:tx>
          <c:spPr>
            <a:solidFill>
              <a:schemeClr val="accent6"/>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period!$B$22:$B$32</c:f>
              <c:strCache>
                <c:ptCount val="10"/>
                <c:pt idx="0">
                  <c:v>Dreamtime</c:v>
                </c:pt>
                <c:pt idx="1">
                  <c:v>Unknown pre-1840</c:v>
                </c:pt>
                <c:pt idx="2">
                  <c:v>1840-1849</c:v>
                </c:pt>
                <c:pt idx="3">
                  <c:v>1850-1859</c:v>
                </c:pt>
                <c:pt idx="4">
                  <c:v>1860-1869</c:v>
                </c:pt>
                <c:pt idx="5">
                  <c:v>1870-1879</c:v>
                </c:pt>
                <c:pt idx="6">
                  <c:v>1880-1889</c:v>
                </c:pt>
                <c:pt idx="7">
                  <c:v>1890-1899</c:v>
                </c:pt>
                <c:pt idx="8">
                  <c:v>1900</c:v>
                </c:pt>
                <c:pt idx="9">
                  <c:v>Unknown 1840-1900</c:v>
                </c:pt>
              </c:strCache>
            </c:strRef>
          </c:cat>
          <c:val>
            <c:numRef>
              <c:f>period!$F$22:$F$32</c:f>
              <c:numCache>
                <c:formatCode>General</c:formatCode>
                <c:ptCount val="10"/>
                <c:pt idx="0">
                  <c:v>2</c:v>
                </c:pt>
                <c:pt idx="1">
                  <c:v>3</c:v>
                </c:pt>
                <c:pt idx="2">
                  <c:v>8</c:v>
                </c:pt>
                <c:pt idx="4">
                  <c:v>2</c:v>
                </c:pt>
                <c:pt idx="5">
                  <c:v>6</c:v>
                </c:pt>
                <c:pt idx="6">
                  <c:v>2</c:v>
                </c:pt>
                <c:pt idx="7">
                  <c:v>4</c:v>
                </c:pt>
              </c:numCache>
            </c:numRef>
          </c:val>
          <c:extLst>
            <c:ext xmlns:c16="http://schemas.microsoft.com/office/drawing/2014/chart" uri="{C3380CC4-5D6E-409C-BE32-E72D297353CC}">
              <c16:uniqueId val="{00000003-F950-E543-82F7-E109AD168302}"/>
            </c:ext>
          </c:extLst>
        </c:ser>
        <c:ser>
          <c:idx val="4"/>
          <c:order val="4"/>
          <c:tx>
            <c:strRef>
              <c:f>period!$G$20:$G$21</c:f>
              <c:strCache>
                <c:ptCount val="1"/>
                <c:pt idx="0">
                  <c:v>Resource</c:v>
                </c:pt>
              </c:strCache>
            </c:strRef>
          </c:tx>
          <c:spPr>
            <a:solidFill>
              <a:schemeClr val="accent4"/>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period!$B$22:$B$32</c:f>
              <c:strCache>
                <c:ptCount val="10"/>
                <c:pt idx="0">
                  <c:v>Dreamtime</c:v>
                </c:pt>
                <c:pt idx="1">
                  <c:v>Unknown pre-1840</c:v>
                </c:pt>
                <c:pt idx="2">
                  <c:v>1840-1849</c:v>
                </c:pt>
                <c:pt idx="3">
                  <c:v>1850-1859</c:v>
                </c:pt>
                <c:pt idx="4">
                  <c:v>1860-1869</c:v>
                </c:pt>
                <c:pt idx="5">
                  <c:v>1870-1879</c:v>
                </c:pt>
                <c:pt idx="6">
                  <c:v>1880-1889</c:v>
                </c:pt>
                <c:pt idx="7">
                  <c:v>1890-1899</c:v>
                </c:pt>
                <c:pt idx="8">
                  <c:v>1900</c:v>
                </c:pt>
                <c:pt idx="9">
                  <c:v>Unknown 1840-1900</c:v>
                </c:pt>
              </c:strCache>
            </c:strRef>
          </c:cat>
          <c:val>
            <c:numRef>
              <c:f>period!$G$22:$G$32</c:f>
              <c:numCache>
                <c:formatCode>General</c:formatCode>
                <c:ptCount val="10"/>
                <c:pt idx="0">
                  <c:v>3</c:v>
                </c:pt>
                <c:pt idx="1">
                  <c:v>24</c:v>
                </c:pt>
                <c:pt idx="2">
                  <c:v>6</c:v>
                </c:pt>
                <c:pt idx="4">
                  <c:v>1</c:v>
                </c:pt>
                <c:pt idx="5">
                  <c:v>3</c:v>
                </c:pt>
                <c:pt idx="6">
                  <c:v>1</c:v>
                </c:pt>
                <c:pt idx="7">
                  <c:v>1</c:v>
                </c:pt>
                <c:pt idx="9">
                  <c:v>2</c:v>
                </c:pt>
              </c:numCache>
            </c:numRef>
          </c:val>
          <c:extLst>
            <c:ext xmlns:c16="http://schemas.microsoft.com/office/drawing/2014/chart" uri="{C3380CC4-5D6E-409C-BE32-E72D297353CC}">
              <c16:uniqueId val="{00000004-F950-E543-82F7-E109AD168302}"/>
            </c:ext>
          </c:extLst>
        </c:ser>
        <c:dLbls>
          <c:showLegendKey val="0"/>
          <c:showVal val="1"/>
          <c:showCatName val="0"/>
          <c:showSerName val="0"/>
          <c:showPercent val="0"/>
          <c:showBubbleSize val="0"/>
        </c:dLbls>
        <c:gapWidth val="150"/>
        <c:overlap val="100"/>
        <c:axId val="1525701135"/>
        <c:axId val="1585522879"/>
      </c:barChart>
      <c:catAx>
        <c:axId val="15257011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1585522879"/>
        <c:crosses val="autoZero"/>
        <c:auto val="1"/>
        <c:lblAlgn val="ctr"/>
        <c:lblOffset val="100"/>
        <c:noMultiLvlLbl val="0"/>
      </c:catAx>
      <c:valAx>
        <c:axId val="1585522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1525701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period!$C$50</c:f>
              <c:strCache>
                <c:ptCount val="1"/>
                <c:pt idx="0">
                  <c:v>Aboriginal Community</c:v>
                </c:pt>
              </c:strCache>
            </c:strRef>
          </c:tx>
          <c:spPr>
            <a:ln w="15875" cap="rnd">
              <a:solidFill>
                <a:srgbClr val="A500E3"/>
              </a:solidFill>
              <a:round/>
            </a:ln>
            <a:effectLst/>
          </c:spPr>
          <c:marker>
            <c:symbol val="circle"/>
            <c:size val="4"/>
            <c:spPr>
              <a:solidFill>
                <a:srgbClr val="A500E3"/>
              </a:solidFill>
              <a:ln w="9525" cap="flat" cmpd="sng" algn="ctr">
                <a:solidFill>
                  <a:srgbClr val="A500E3"/>
                </a:solidFill>
                <a:round/>
              </a:ln>
              <a:effectLst/>
            </c:spPr>
          </c:marker>
          <c:cat>
            <c:strRef>
              <c:f>period!$B$51:$B$60</c:f>
              <c:strCache>
                <c:ptCount val="10"/>
                <c:pt idx="0">
                  <c:v>Dreamtime</c:v>
                </c:pt>
                <c:pt idx="1">
                  <c:v>Unknown pre-1840</c:v>
                </c:pt>
                <c:pt idx="2">
                  <c:v>1840-1849</c:v>
                </c:pt>
                <c:pt idx="3">
                  <c:v>1850-1859</c:v>
                </c:pt>
                <c:pt idx="4">
                  <c:v>1860-1869</c:v>
                </c:pt>
                <c:pt idx="5">
                  <c:v>1870-1879</c:v>
                </c:pt>
                <c:pt idx="6">
                  <c:v>1880-1889</c:v>
                </c:pt>
                <c:pt idx="7">
                  <c:v>1890-1899</c:v>
                </c:pt>
                <c:pt idx="8">
                  <c:v>1900</c:v>
                </c:pt>
                <c:pt idx="9">
                  <c:v>Unknown 1840-1900</c:v>
                </c:pt>
              </c:strCache>
            </c:strRef>
          </c:cat>
          <c:val>
            <c:numRef>
              <c:f>period!$C$51:$C$60</c:f>
              <c:numCache>
                <c:formatCode>General</c:formatCode>
                <c:ptCount val="10"/>
                <c:pt idx="0">
                  <c:v>0</c:v>
                </c:pt>
                <c:pt idx="1">
                  <c:v>1</c:v>
                </c:pt>
                <c:pt idx="2">
                  <c:v>0</c:v>
                </c:pt>
                <c:pt idx="3">
                  <c:v>0</c:v>
                </c:pt>
                <c:pt idx="4">
                  <c:v>0</c:v>
                </c:pt>
                <c:pt idx="5">
                  <c:v>6</c:v>
                </c:pt>
                <c:pt idx="6">
                  <c:v>7</c:v>
                </c:pt>
                <c:pt idx="7">
                  <c:v>27</c:v>
                </c:pt>
                <c:pt idx="8">
                  <c:v>5</c:v>
                </c:pt>
                <c:pt idx="9">
                  <c:v>0</c:v>
                </c:pt>
              </c:numCache>
            </c:numRef>
          </c:val>
          <c:smooth val="0"/>
          <c:extLst>
            <c:ext xmlns:c16="http://schemas.microsoft.com/office/drawing/2014/chart" uri="{C3380CC4-5D6E-409C-BE32-E72D297353CC}">
              <c16:uniqueId val="{00000000-3AB4-1E48-AB56-CA5A5814EAF6}"/>
            </c:ext>
          </c:extLst>
        </c:ser>
        <c:ser>
          <c:idx val="1"/>
          <c:order val="1"/>
          <c:tx>
            <c:strRef>
              <c:f>period!$D$50</c:f>
              <c:strCache>
                <c:ptCount val="1"/>
                <c:pt idx="0">
                  <c:v>Autonomous</c:v>
                </c:pt>
              </c:strCache>
            </c:strRef>
          </c:tx>
          <c:spPr>
            <a:ln w="15875" cap="rnd">
              <a:solidFill>
                <a:srgbClr val="C00000"/>
              </a:solidFill>
              <a:round/>
            </a:ln>
            <a:effectLst/>
          </c:spPr>
          <c:marker>
            <c:symbol val="circle"/>
            <c:size val="4"/>
            <c:spPr>
              <a:solidFill>
                <a:srgbClr val="C00000"/>
              </a:solidFill>
              <a:ln w="9525" cap="flat" cmpd="sng" algn="ctr">
                <a:solidFill>
                  <a:srgbClr val="C00000"/>
                </a:solidFill>
                <a:round/>
              </a:ln>
              <a:effectLst/>
            </c:spPr>
          </c:marker>
          <c:cat>
            <c:strRef>
              <c:f>period!$B$51:$B$60</c:f>
              <c:strCache>
                <c:ptCount val="10"/>
                <c:pt idx="0">
                  <c:v>Dreamtime</c:v>
                </c:pt>
                <c:pt idx="1">
                  <c:v>Unknown pre-1840</c:v>
                </c:pt>
                <c:pt idx="2">
                  <c:v>1840-1849</c:v>
                </c:pt>
                <c:pt idx="3">
                  <c:v>1850-1859</c:v>
                </c:pt>
                <c:pt idx="4">
                  <c:v>1860-1869</c:v>
                </c:pt>
                <c:pt idx="5">
                  <c:v>1870-1879</c:v>
                </c:pt>
                <c:pt idx="6">
                  <c:v>1880-1889</c:v>
                </c:pt>
                <c:pt idx="7">
                  <c:v>1890-1899</c:v>
                </c:pt>
                <c:pt idx="8">
                  <c:v>1900</c:v>
                </c:pt>
                <c:pt idx="9">
                  <c:v>Unknown 1840-1900</c:v>
                </c:pt>
              </c:strCache>
            </c:strRef>
          </c:cat>
          <c:val>
            <c:numRef>
              <c:f>period!$D$51:$D$60</c:f>
              <c:numCache>
                <c:formatCode>General</c:formatCode>
                <c:ptCount val="10"/>
                <c:pt idx="0">
                  <c:v>0</c:v>
                </c:pt>
                <c:pt idx="1">
                  <c:v>2</c:v>
                </c:pt>
                <c:pt idx="2">
                  <c:v>25</c:v>
                </c:pt>
                <c:pt idx="3">
                  <c:v>2</c:v>
                </c:pt>
                <c:pt idx="4">
                  <c:v>2</c:v>
                </c:pt>
                <c:pt idx="5">
                  <c:v>1</c:v>
                </c:pt>
                <c:pt idx="6">
                  <c:v>0</c:v>
                </c:pt>
                <c:pt idx="7">
                  <c:v>15</c:v>
                </c:pt>
                <c:pt idx="8">
                  <c:v>0</c:v>
                </c:pt>
                <c:pt idx="9">
                  <c:v>4</c:v>
                </c:pt>
              </c:numCache>
            </c:numRef>
          </c:val>
          <c:smooth val="0"/>
          <c:extLst>
            <c:ext xmlns:c16="http://schemas.microsoft.com/office/drawing/2014/chart" uri="{C3380CC4-5D6E-409C-BE32-E72D297353CC}">
              <c16:uniqueId val="{00000001-3AB4-1E48-AB56-CA5A5814EAF6}"/>
            </c:ext>
          </c:extLst>
        </c:ser>
        <c:ser>
          <c:idx val="2"/>
          <c:order val="2"/>
          <c:tx>
            <c:strRef>
              <c:f>period!$E$50</c:f>
              <c:strCache>
                <c:ptCount val="1"/>
                <c:pt idx="0">
                  <c:v>Mission/Reserve</c:v>
                </c:pt>
              </c:strCache>
            </c:strRef>
          </c:tx>
          <c:spPr>
            <a:ln w="15875" cap="rnd">
              <a:solidFill>
                <a:srgbClr val="0070C0"/>
              </a:solidFill>
              <a:round/>
            </a:ln>
            <a:effectLst/>
          </c:spPr>
          <c:marker>
            <c:symbol val="circle"/>
            <c:size val="4"/>
            <c:spPr>
              <a:solidFill>
                <a:srgbClr val="0070C0"/>
              </a:solidFill>
              <a:ln w="9525" cap="flat" cmpd="sng" algn="ctr">
                <a:solidFill>
                  <a:srgbClr val="0070C0"/>
                </a:solidFill>
                <a:round/>
              </a:ln>
              <a:effectLst/>
            </c:spPr>
          </c:marker>
          <c:cat>
            <c:strRef>
              <c:f>period!$B$51:$B$60</c:f>
              <c:strCache>
                <c:ptCount val="10"/>
                <c:pt idx="0">
                  <c:v>Dreamtime</c:v>
                </c:pt>
                <c:pt idx="1">
                  <c:v>Unknown pre-1840</c:v>
                </c:pt>
                <c:pt idx="2">
                  <c:v>1840-1849</c:v>
                </c:pt>
                <c:pt idx="3">
                  <c:v>1850-1859</c:v>
                </c:pt>
                <c:pt idx="4">
                  <c:v>1860-1869</c:v>
                </c:pt>
                <c:pt idx="5">
                  <c:v>1870-1879</c:v>
                </c:pt>
                <c:pt idx="6">
                  <c:v>1880-1889</c:v>
                </c:pt>
                <c:pt idx="7">
                  <c:v>1890-1899</c:v>
                </c:pt>
                <c:pt idx="8">
                  <c:v>1900</c:v>
                </c:pt>
                <c:pt idx="9">
                  <c:v>Unknown 1840-1900</c:v>
                </c:pt>
              </c:strCache>
            </c:strRef>
          </c:cat>
          <c:val>
            <c:numRef>
              <c:f>period!$E$51:$E$60</c:f>
              <c:numCache>
                <c:formatCode>General</c:formatCode>
                <c:ptCount val="10"/>
                <c:pt idx="0">
                  <c:v>0</c:v>
                </c:pt>
                <c:pt idx="1">
                  <c:v>0</c:v>
                </c:pt>
                <c:pt idx="2">
                  <c:v>0</c:v>
                </c:pt>
                <c:pt idx="3">
                  <c:v>0</c:v>
                </c:pt>
                <c:pt idx="4">
                  <c:v>0</c:v>
                </c:pt>
                <c:pt idx="5">
                  <c:v>0</c:v>
                </c:pt>
                <c:pt idx="6">
                  <c:v>9</c:v>
                </c:pt>
                <c:pt idx="7">
                  <c:v>7</c:v>
                </c:pt>
                <c:pt idx="8">
                  <c:v>5</c:v>
                </c:pt>
                <c:pt idx="9">
                  <c:v>1</c:v>
                </c:pt>
              </c:numCache>
            </c:numRef>
          </c:val>
          <c:smooth val="0"/>
          <c:extLst>
            <c:ext xmlns:c16="http://schemas.microsoft.com/office/drawing/2014/chart" uri="{C3380CC4-5D6E-409C-BE32-E72D297353CC}">
              <c16:uniqueId val="{00000002-3AB4-1E48-AB56-CA5A5814EAF6}"/>
            </c:ext>
          </c:extLst>
        </c:ser>
        <c:ser>
          <c:idx val="3"/>
          <c:order val="3"/>
          <c:tx>
            <c:strRef>
              <c:f>period!$F$50</c:f>
              <c:strCache>
                <c:ptCount val="1"/>
                <c:pt idx="0">
                  <c:v>Pastoral</c:v>
                </c:pt>
              </c:strCache>
            </c:strRef>
          </c:tx>
          <c:spPr>
            <a:ln w="15875" cap="rnd">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period!$B$51:$B$60</c:f>
              <c:strCache>
                <c:ptCount val="10"/>
                <c:pt idx="0">
                  <c:v>Dreamtime</c:v>
                </c:pt>
                <c:pt idx="1">
                  <c:v>Unknown pre-1840</c:v>
                </c:pt>
                <c:pt idx="2">
                  <c:v>1840-1849</c:v>
                </c:pt>
                <c:pt idx="3">
                  <c:v>1850-1859</c:v>
                </c:pt>
                <c:pt idx="4">
                  <c:v>1860-1869</c:v>
                </c:pt>
                <c:pt idx="5">
                  <c:v>1870-1879</c:v>
                </c:pt>
                <c:pt idx="6">
                  <c:v>1880-1889</c:v>
                </c:pt>
                <c:pt idx="7">
                  <c:v>1890-1899</c:v>
                </c:pt>
                <c:pt idx="8">
                  <c:v>1900</c:v>
                </c:pt>
                <c:pt idx="9">
                  <c:v>Unknown 1840-1900</c:v>
                </c:pt>
              </c:strCache>
            </c:strRef>
          </c:cat>
          <c:val>
            <c:numRef>
              <c:f>period!$F$51:$F$60</c:f>
              <c:numCache>
                <c:formatCode>General</c:formatCode>
                <c:ptCount val="10"/>
                <c:pt idx="0">
                  <c:v>0</c:v>
                </c:pt>
                <c:pt idx="1">
                  <c:v>1</c:v>
                </c:pt>
                <c:pt idx="2">
                  <c:v>0</c:v>
                </c:pt>
                <c:pt idx="3">
                  <c:v>1</c:v>
                </c:pt>
                <c:pt idx="4">
                  <c:v>2</c:v>
                </c:pt>
                <c:pt idx="5">
                  <c:v>1</c:v>
                </c:pt>
                <c:pt idx="6">
                  <c:v>8</c:v>
                </c:pt>
                <c:pt idx="7">
                  <c:v>21</c:v>
                </c:pt>
                <c:pt idx="8">
                  <c:v>1</c:v>
                </c:pt>
                <c:pt idx="9">
                  <c:v>1</c:v>
                </c:pt>
              </c:numCache>
            </c:numRef>
          </c:val>
          <c:smooth val="0"/>
          <c:extLst>
            <c:ext xmlns:c16="http://schemas.microsoft.com/office/drawing/2014/chart" uri="{C3380CC4-5D6E-409C-BE32-E72D297353CC}">
              <c16:uniqueId val="{00000003-3AB4-1E48-AB56-CA5A5814EAF6}"/>
            </c:ext>
          </c:extLst>
        </c:ser>
        <c:dLbls>
          <c:showLegendKey val="0"/>
          <c:showVal val="0"/>
          <c:showCatName val="0"/>
          <c:showSerName val="0"/>
          <c:showPercent val="0"/>
          <c:showBubbleSize val="0"/>
        </c:dLbls>
        <c:marker val="1"/>
        <c:smooth val="0"/>
        <c:axId val="1051548655"/>
        <c:axId val="1050153679"/>
      </c:lineChart>
      <c:catAx>
        <c:axId val="1051548655"/>
        <c:scaling>
          <c:orientation val="minMax"/>
        </c:scaling>
        <c:delete val="0"/>
        <c:axPos val="b"/>
        <c:title>
          <c:tx>
            <c:rich>
              <a:bodyPr rot="0" spcFirstLastPara="1" vertOverflow="ellipsis" vert="horz" wrap="square" anchor="ctr" anchorCtr="1"/>
              <a:lstStyle/>
              <a:p>
                <a:pPr>
                  <a:defRPr sz="1000" b="1" i="0" u="none" strike="noStrike" kern="1200" cap="all" baseline="0">
                    <a:solidFill>
                      <a:schemeClr val="tx1">
                        <a:lumMod val="50000"/>
                        <a:lumOff val="50000"/>
                      </a:schemeClr>
                    </a:solidFill>
                    <a:latin typeface="+mn-lt"/>
                    <a:ea typeface="+mn-ea"/>
                    <a:cs typeface="+mn-cs"/>
                  </a:defRPr>
                </a:pPr>
                <a:r>
                  <a:rPr lang="en-GB" sz="1000" b="1" cap="none" baseline="0"/>
                  <a:t>Period</a:t>
                </a:r>
              </a:p>
            </c:rich>
          </c:tx>
          <c:overlay val="0"/>
          <c:spPr>
            <a:noFill/>
            <a:ln>
              <a:noFill/>
            </a:ln>
            <a:effectLst/>
          </c:spPr>
          <c:txPr>
            <a:bodyPr rot="0" spcFirstLastPara="1" vertOverflow="ellipsis" vert="horz" wrap="square" anchor="ctr" anchorCtr="1"/>
            <a:lstStyle/>
            <a:p>
              <a:pPr>
                <a:defRPr sz="1000" b="1"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50153679"/>
        <c:crosses val="autoZero"/>
        <c:auto val="1"/>
        <c:lblAlgn val="ctr"/>
        <c:lblOffset val="100"/>
        <c:noMultiLvlLbl val="0"/>
      </c:catAx>
      <c:valAx>
        <c:axId val="1050153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cap="all" baseline="0">
                    <a:solidFill>
                      <a:schemeClr val="tx1">
                        <a:lumMod val="50000"/>
                        <a:lumOff val="50000"/>
                      </a:schemeClr>
                    </a:solidFill>
                    <a:latin typeface="+mn-lt"/>
                    <a:ea typeface="+mn-ea"/>
                    <a:cs typeface="+mn-cs"/>
                  </a:defRPr>
                </a:pPr>
                <a:r>
                  <a:rPr lang="en-GB" sz="1000" b="1" cap="none" baseline="0"/>
                  <a:t>Count</a:t>
                </a:r>
              </a:p>
            </c:rich>
          </c:tx>
          <c:overlay val="0"/>
          <c:spPr>
            <a:noFill/>
            <a:ln>
              <a:noFill/>
            </a:ln>
            <a:effectLst/>
          </c:spPr>
          <c:txPr>
            <a:bodyPr rot="-5400000" spcFirstLastPara="1" vertOverflow="ellipsis" vert="horz" wrap="square" anchor="ctr" anchorCtr="1"/>
            <a:lstStyle/>
            <a:p>
              <a:pPr>
                <a:defRPr sz="1000" b="1"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51548655"/>
        <c:crosses val="autoZero"/>
        <c:crossBetween val="between"/>
      </c:valAx>
      <c:spPr>
        <a:noFill/>
        <a:ln>
          <a:noFill/>
        </a:ln>
        <a:effectLst/>
      </c:spPr>
    </c:plotArea>
    <c:legend>
      <c:legendPos val="b"/>
      <c:layout>
        <c:manualLayout>
          <c:xMode val="edge"/>
          <c:yMode val="edge"/>
          <c:x val="2.2148002368372569E-2"/>
          <c:y val="0.81187623028371658"/>
          <c:w val="0.95324400997164649"/>
          <c:h val="0.1633146081682699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411543635612044E-2"/>
          <c:y val="4.4929510985243171E-2"/>
          <c:w val="0.90800908561903249"/>
          <c:h val="0.77346862576978481"/>
        </c:manualLayout>
      </c:layout>
      <c:barChart>
        <c:barDir val="col"/>
        <c:grouping val="stacked"/>
        <c:varyColors val="0"/>
        <c:ser>
          <c:idx val="0"/>
          <c:order val="0"/>
          <c:tx>
            <c:strRef>
              <c:f>period!$AD$4</c:f>
              <c:strCache>
                <c:ptCount val="1"/>
                <c:pt idx="0">
                  <c:v>Observation of Lifeways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period!$AC$5:$AC$13</c:f>
              <c:strCache>
                <c:ptCount val="9"/>
                <c:pt idx="0">
                  <c:v>pre-1840</c:v>
                </c:pt>
                <c:pt idx="1">
                  <c:v>1840-1849</c:v>
                </c:pt>
                <c:pt idx="2">
                  <c:v>1850-1859</c:v>
                </c:pt>
                <c:pt idx="3">
                  <c:v>1860-1869</c:v>
                </c:pt>
                <c:pt idx="4">
                  <c:v>1870-1879</c:v>
                </c:pt>
                <c:pt idx="5">
                  <c:v>1880-1889</c:v>
                </c:pt>
                <c:pt idx="6">
                  <c:v>1890-1899</c:v>
                </c:pt>
                <c:pt idx="7">
                  <c:v>1900</c:v>
                </c:pt>
                <c:pt idx="8">
                  <c:v>Unknown</c:v>
                </c:pt>
              </c:strCache>
            </c:strRef>
          </c:cat>
          <c:val>
            <c:numRef>
              <c:f>period!$AD$5:$AD$13</c:f>
              <c:numCache>
                <c:formatCode>General</c:formatCode>
                <c:ptCount val="9"/>
                <c:pt idx="0">
                  <c:v>75</c:v>
                </c:pt>
                <c:pt idx="1">
                  <c:v>13</c:v>
                </c:pt>
                <c:pt idx="2">
                  <c:v>1</c:v>
                </c:pt>
                <c:pt idx="3">
                  <c:v>3</c:v>
                </c:pt>
                <c:pt idx="4">
                  <c:v>2</c:v>
                </c:pt>
                <c:pt idx="5">
                  <c:v>3</c:v>
                </c:pt>
                <c:pt idx="6">
                  <c:v>20</c:v>
                </c:pt>
                <c:pt idx="7">
                  <c:v>2</c:v>
                </c:pt>
                <c:pt idx="8">
                  <c:v>5</c:v>
                </c:pt>
              </c:numCache>
            </c:numRef>
          </c:val>
          <c:extLst>
            <c:ext xmlns:c16="http://schemas.microsoft.com/office/drawing/2014/chart" uri="{C3380CC4-5D6E-409C-BE32-E72D297353CC}">
              <c16:uniqueId val="{00000000-A64E-2546-836C-BBEC32EE55EB}"/>
            </c:ext>
          </c:extLst>
        </c:ser>
        <c:ser>
          <c:idx val="1"/>
          <c:order val="1"/>
          <c:tx>
            <c:strRef>
              <c:f>period!$AE$4</c:f>
              <c:strCache>
                <c:ptCount val="1"/>
                <c:pt idx="0">
                  <c:v>Experiencing Violence/Death</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period!$AC$5:$AC$13</c:f>
              <c:strCache>
                <c:ptCount val="9"/>
                <c:pt idx="0">
                  <c:v>pre-1840</c:v>
                </c:pt>
                <c:pt idx="1">
                  <c:v>1840-1849</c:v>
                </c:pt>
                <c:pt idx="2">
                  <c:v>1850-1859</c:v>
                </c:pt>
                <c:pt idx="3">
                  <c:v>1860-1869</c:v>
                </c:pt>
                <c:pt idx="4">
                  <c:v>1870-1879</c:v>
                </c:pt>
                <c:pt idx="5">
                  <c:v>1880-1889</c:v>
                </c:pt>
                <c:pt idx="6">
                  <c:v>1890-1899</c:v>
                </c:pt>
                <c:pt idx="7">
                  <c:v>1900</c:v>
                </c:pt>
                <c:pt idx="8">
                  <c:v>Unknown</c:v>
                </c:pt>
              </c:strCache>
            </c:strRef>
          </c:cat>
          <c:val>
            <c:numRef>
              <c:f>period!$AE$5:$AE$13</c:f>
              <c:numCache>
                <c:formatCode>General</c:formatCode>
                <c:ptCount val="9"/>
                <c:pt idx="0">
                  <c:v>1</c:v>
                </c:pt>
                <c:pt idx="1">
                  <c:v>3</c:v>
                </c:pt>
                <c:pt idx="2">
                  <c:v>14</c:v>
                </c:pt>
                <c:pt idx="3">
                  <c:v>1</c:v>
                </c:pt>
                <c:pt idx="4">
                  <c:v>2</c:v>
                </c:pt>
                <c:pt idx="5">
                  <c:v>3</c:v>
                </c:pt>
                <c:pt idx="6">
                  <c:v>3</c:v>
                </c:pt>
                <c:pt idx="8">
                  <c:v>10</c:v>
                </c:pt>
              </c:numCache>
            </c:numRef>
          </c:val>
          <c:extLst>
            <c:ext xmlns:c16="http://schemas.microsoft.com/office/drawing/2014/chart" uri="{C3380CC4-5D6E-409C-BE32-E72D297353CC}">
              <c16:uniqueId val="{00000001-A64E-2546-836C-BBEC32EE55EB}"/>
            </c:ext>
          </c:extLst>
        </c:ser>
        <c:ser>
          <c:idx val="2"/>
          <c:order val="2"/>
          <c:tx>
            <c:strRef>
              <c:f>period!$AF$4</c:f>
              <c:strCache>
                <c:ptCount val="1"/>
                <c:pt idx="0">
                  <c:v>Engaging with Settler-Colonial Economies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period!$AC$5:$AC$13</c:f>
              <c:strCache>
                <c:ptCount val="9"/>
                <c:pt idx="0">
                  <c:v>pre-1840</c:v>
                </c:pt>
                <c:pt idx="1">
                  <c:v>1840-1849</c:v>
                </c:pt>
                <c:pt idx="2">
                  <c:v>1850-1859</c:v>
                </c:pt>
                <c:pt idx="3">
                  <c:v>1860-1869</c:v>
                </c:pt>
                <c:pt idx="4">
                  <c:v>1870-1879</c:v>
                </c:pt>
                <c:pt idx="5">
                  <c:v>1880-1889</c:v>
                </c:pt>
                <c:pt idx="6">
                  <c:v>1890-1899</c:v>
                </c:pt>
                <c:pt idx="7">
                  <c:v>1900</c:v>
                </c:pt>
                <c:pt idx="8">
                  <c:v>Unknown</c:v>
                </c:pt>
              </c:strCache>
            </c:strRef>
          </c:cat>
          <c:val>
            <c:numRef>
              <c:f>period!$AF$5:$AF$13</c:f>
              <c:numCache>
                <c:formatCode>General</c:formatCode>
                <c:ptCount val="9"/>
                <c:pt idx="3">
                  <c:v>1</c:v>
                </c:pt>
                <c:pt idx="4">
                  <c:v>1</c:v>
                </c:pt>
                <c:pt idx="5">
                  <c:v>8</c:v>
                </c:pt>
                <c:pt idx="6">
                  <c:v>18</c:v>
                </c:pt>
                <c:pt idx="7">
                  <c:v>1</c:v>
                </c:pt>
                <c:pt idx="8">
                  <c:v>1</c:v>
                </c:pt>
              </c:numCache>
            </c:numRef>
          </c:val>
          <c:extLst>
            <c:ext xmlns:c16="http://schemas.microsoft.com/office/drawing/2014/chart" uri="{C3380CC4-5D6E-409C-BE32-E72D297353CC}">
              <c16:uniqueId val="{00000002-A64E-2546-836C-BBEC32EE55EB}"/>
            </c:ext>
          </c:extLst>
        </c:ser>
        <c:ser>
          <c:idx val="3"/>
          <c:order val="3"/>
          <c:tx>
            <c:strRef>
              <c:f>period!$AG$4</c:f>
              <c:strCache>
                <c:ptCount val="1"/>
                <c:pt idx="0">
                  <c:v>Distribution of Rations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period!$AC$5:$AC$13</c:f>
              <c:strCache>
                <c:ptCount val="9"/>
                <c:pt idx="0">
                  <c:v>pre-1840</c:v>
                </c:pt>
                <c:pt idx="1">
                  <c:v>1840-1849</c:v>
                </c:pt>
                <c:pt idx="2">
                  <c:v>1850-1859</c:v>
                </c:pt>
                <c:pt idx="3">
                  <c:v>1860-1869</c:v>
                </c:pt>
                <c:pt idx="4">
                  <c:v>1870-1879</c:v>
                </c:pt>
                <c:pt idx="5">
                  <c:v>1880-1889</c:v>
                </c:pt>
                <c:pt idx="6">
                  <c:v>1890-1899</c:v>
                </c:pt>
                <c:pt idx="7">
                  <c:v>1900</c:v>
                </c:pt>
                <c:pt idx="8">
                  <c:v>Unknown</c:v>
                </c:pt>
              </c:strCache>
            </c:strRef>
          </c:cat>
          <c:val>
            <c:numRef>
              <c:f>period!$AG$5:$AG$13</c:f>
              <c:numCache>
                <c:formatCode>General</c:formatCode>
                <c:ptCount val="9"/>
                <c:pt idx="4">
                  <c:v>4</c:v>
                </c:pt>
                <c:pt idx="5">
                  <c:v>1</c:v>
                </c:pt>
                <c:pt idx="6">
                  <c:v>21</c:v>
                </c:pt>
                <c:pt idx="7">
                  <c:v>4</c:v>
                </c:pt>
              </c:numCache>
            </c:numRef>
          </c:val>
          <c:extLst>
            <c:ext xmlns:c16="http://schemas.microsoft.com/office/drawing/2014/chart" uri="{C3380CC4-5D6E-409C-BE32-E72D297353CC}">
              <c16:uniqueId val="{00000003-A64E-2546-836C-BBEC32EE55EB}"/>
            </c:ext>
          </c:extLst>
        </c:ser>
        <c:dLbls>
          <c:showLegendKey val="0"/>
          <c:showVal val="0"/>
          <c:showCatName val="0"/>
          <c:showSerName val="0"/>
          <c:showPercent val="0"/>
          <c:showBubbleSize val="0"/>
        </c:dLbls>
        <c:gapWidth val="150"/>
        <c:overlap val="100"/>
        <c:axId val="576104751"/>
        <c:axId val="615318751"/>
      </c:barChart>
      <c:catAx>
        <c:axId val="57610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15318751"/>
        <c:crosses val="autoZero"/>
        <c:auto val="1"/>
        <c:lblAlgn val="ctr"/>
        <c:lblOffset val="100"/>
        <c:noMultiLvlLbl val="0"/>
      </c:catAx>
      <c:valAx>
        <c:axId val="615318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Count</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76104751"/>
        <c:crosses val="autoZero"/>
        <c:crossBetween val="between"/>
      </c:valAx>
      <c:spPr>
        <a:noFill/>
        <a:ln>
          <a:noFill/>
        </a:ln>
        <a:effectLst/>
      </c:spPr>
    </c:plotArea>
    <c:legend>
      <c:legendPos val="b"/>
      <c:layout>
        <c:manualLayout>
          <c:xMode val="edge"/>
          <c:yMode val="edge"/>
          <c:x val="4.3001854508783445E-2"/>
          <c:y val="0.89029710946428875"/>
          <c:w val="0.94050218746465797"/>
          <c:h val="9.5238727966116654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1"/>
    </mc:Choice>
    <mc:Fallback>
      <c:style val="1"/>
    </mc:Fallback>
  </mc:AlternateContent>
  <c:pivotSource>
    <c:name>[Kate Dale_Honours Dataset_FINAL 29.5.26.xlsx]period!PivotTable2</c:name>
    <c:fmtId val="12"/>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period!$C$4</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period!$B$5:$B$15</c:f>
              <c:strCache>
                <c:ptCount val="10"/>
                <c:pt idx="0">
                  <c:v>Dreamtime</c:v>
                </c:pt>
                <c:pt idx="1">
                  <c:v>Unknown pre-1840</c:v>
                </c:pt>
                <c:pt idx="2">
                  <c:v>1840-1849</c:v>
                </c:pt>
                <c:pt idx="3">
                  <c:v>1850-1859</c:v>
                </c:pt>
                <c:pt idx="4">
                  <c:v>1860-1869</c:v>
                </c:pt>
                <c:pt idx="5">
                  <c:v>1870-1879</c:v>
                </c:pt>
                <c:pt idx="6">
                  <c:v>1880-1889</c:v>
                </c:pt>
                <c:pt idx="7">
                  <c:v>1890-1899</c:v>
                </c:pt>
                <c:pt idx="8">
                  <c:v>1900</c:v>
                </c:pt>
                <c:pt idx="9">
                  <c:v>Unknown 1840-1900</c:v>
                </c:pt>
              </c:strCache>
            </c:strRef>
          </c:cat>
          <c:val>
            <c:numRef>
              <c:f>period!$C$5:$C$15</c:f>
              <c:numCache>
                <c:formatCode>General</c:formatCode>
                <c:ptCount val="10"/>
                <c:pt idx="0">
                  <c:v>38</c:v>
                </c:pt>
                <c:pt idx="1">
                  <c:v>43</c:v>
                </c:pt>
                <c:pt idx="2">
                  <c:v>39</c:v>
                </c:pt>
                <c:pt idx="3">
                  <c:v>18</c:v>
                </c:pt>
                <c:pt idx="4">
                  <c:v>11</c:v>
                </c:pt>
                <c:pt idx="5">
                  <c:v>18</c:v>
                </c:pt>
                <c:pt idx="6">
                  <c:v>29</c:v>
                </c:pt>
                <c:pt idx="7">
                  <c:v>79</c:v>
                </c:pt>
                <c:pt idx="8">
                  <c:v>12</c:v>
                </c:pt>
                <c:pt idx="9">
                  <c:v>19</c:v>
                </c:pt>
              </c:numCache>
            </c:numRef>
          </c:val>
          <c:extLst>
            <c:ext xmlns:c16="http://schemas.microsoft.com/office/drawing/2014/chart" uri="{C3380CC4-5D6E-409C-BE32-E72D297353CC}">
              <c16:uniqueId val="{00000000-B9B2-4344-9848-59D9F8979A18}"/>
            </c:ext>
          </c:extLst>
        </c:ser>
        <c:dLbls>
          <c:showLegendKey val="0"/>
          <c:showVal val="0"/>
          <c:showCatName val="0"/>
          <c:showSerName val="0"/>
          <c:showPercent val="0"/>
          <c:showBubbleSize val="0"/>
        </c:dLbls>
        <c:gapWidth val="219"/>
        <c:overlap val="-27"/>
        <c:axId val="1292214031"/>
        <c:axId val="1060540383"/>
      </c:barChart>
      <c:catAx>
        <c:axId val="1292214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Time Periods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540383"/>
        <c:crosses val="autoZero"/>
        <c:auto val="1"/>
        <c:lblAlgn val="ctr"/>
        <c:lblOffset val="100"/>
        <c:noMultiLvlLbl val="0"/>
      </c:catAx>
      <c:valAx>
        <c:axId val="1060540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Number</a:t>
                </a:r>
                <a:r>
                  <a:rPr lang="en-GB" baseline="0"/>
                  <a:t> of Entries</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214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A593-9F4A-8F1D-E682F1F210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593-9F4A-8F1D-E682F1F210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A593-9F4A-8F1D-E682F1F210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A593-9F4A-8F1D-E682F1F2100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A593-9F4A-8F1D-E682F1F2100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593-9F4A-8F1D-E682F1F2100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A593-9F4A-8F1D-E682F1F2100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8-A593-9F4A-8F1D-E682F1F2100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A593-9F4A-8F1D-E682F1F2100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A-A593-9F4A-8F1D-E682F1F2100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1-A593-9F4A-8F1D-E682F1F2100E}"/>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593-9F4A-8F1D-E682F1F2100E}"/>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593-9F4A-8F1D-E682F1F2100E}"/>
                </c:ext>
              </c:extLst>
            </c:dLbl>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593-9F4A-8F1D-E682F1F2100E}"/>
                </c:ext>
              </c:extLst>
            </c:dLbl>
            <c:dLbl>
              <c:idx val="3"/>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593-9F4A-8F1D-E682F1F2100E}"/>
                </c:ext>
              </c:extLst>
            </c:dLbl>
            <c:dLbl>
              <c:idx val="4"/>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593-9F4A-8F1D-E682F1F2100E}"/>
                </c:ext>
              </c:extLst>
            </c:dLbl>
            <c:dLbl>
              <c:idx val="5"/>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593-9F4A-8F1D-E682F1F2100E}"/>
                </c:ext>
              </c:extLst>
            </c:dLbl>
            <c:dLbl>
              <c:idx val="6"/>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593-9F4A-8F1D-E682F1F2100E}"/>
                </c:ext>
              </c:extLst>
            </c:dLbl>
            <c:dLbl>
              <c:idx val="7"/>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593-9F4A-8F1D-E682F1F2100E}"/>
                </c:ext>
              </c:extLst>
            </c:dLbl>
            <c:dLbl>
              <c:idx val="8"/>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593-9F4A-8F1D-E682F1F2100E}"/>
                </c:ext>
              </c:extLst>
            </c:dLbl>
            <c:dLbl>
              <c:idx val="9"/>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593-9F4A-8F1D-E682F1F2100E}"/>
                </c:ext>
              </c:extLst>
            </c:dLbl>
            <c:dLbl>
              <c:idx val="1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593-9F4A-8F1D-E682F1F2100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s>
          <c:cat>
            <c:strRef>
              <c:f>'historical_theme data'!$W$5:$W$15</c:f>
              <c:strCache>
                <c:ptCount val="11"/>
                <c:pt idx="0">
                  <c:v>Acts of Retaliation/Resistance Against Settler-Colonisers (AR)</c:v>
                </c:pt>
                <c:pt idx="1">
                  <c:v>Utlising Settler-Colonial Capital, Infrastructure or Goods (CG)</c:v>
                </c:pt>
                <c:pt idx="2">
                  <c:v>Distribution of Rations (DR)</c:v>
                </c:pt>
                <c:pt idx="3">
                  <c:v>Forced Relocation to Missions/Reserves (FR)</c:v>
                </c:pt>
                <c:pt idx="4">
                  <c:v>General Site Reference (GS)</c:v>
                </c:pt>
                <c:pt idx="5">
                  <c:v>Experiencing Illness or Disease (ID)</c:v>
                </c:pt>
                <c:pt idx="6">
                  <c:v>Sharing Indigenous Knowledge Cross-Culturally (IK)</c:v>
                </c:pt>
                <c:pt idx="7">
                  <c:v>Observation or Description of Indigenous Lifeways (OL)</c:v>
                </c:pt>
                <c:pt idx="8">
                  <c:v>Procuring Food or Resources on Country (PR)</c:v>
                </c:pt>
                <c:pt idx="9">
                  <c:v>Engaging with Settler-Colonial Economy for Cash or Rations (SE)</c:v>
                </c:pt>
                <c:pt idx="10">
                  <c:v>Experiencing Physical Violence and/or Death (VD)</c:v>
                </c:pt>
              </c:strCache>
            </c:strRef>
          </c:cat>
          <c:val>
            <c:numRef>
              <c:f>'historical_theme data'!$X$5:$X$15</c:f>
              <c:numCache>
                <c:formatCode>General</c:formatCode>
                <c:ptCount val="11"/>
                <c:pt idx="0">
                  <c:v>9</c:v>
                </c:pt>
                <c:pt idx="1">
                  <c:v>10</c:v>
                </c:pt>
                <c:pt idx="2">
                  <c:v>30</c:v>
                </c:pt>
                <c:pt idx="3">
                  <c:v>13</c:v>
                </c:pt>
                <c:pt idx="4">
                  <c:v>24</c:v>
                </c:pt>
                <c:pt idx="5">
                  <c:v>1</c:v>
                </c:pt>
                <c:pt idx="6">
                  <c:v>13</c:v>
                </c:pt>
                <c:pt idx="7">
                  <c:v>124</c:v>
                </c:pt>
                <c:pt idx="8">
                  <c:v>15</c:v>
                </c:pt>
                <c:pt idx="9">
                  <c:v>30</c:v>
                </c:pt>
                <c:pt idx="10">
                  <c:v>37</c:v>
                </c:pt>
              </c:numCache>
            </c:numRef>
          </c:val>
          <c:extLst>
            <c:ext xmlns:c16="http://schemas.microsoft.com/office/drawing/2014/chart" uri="{C3380CC4-5D6E-409C-BE32-E72D297353CC}">
              <c16:uniqueId val="{00000000-A593-9F4A-8F1D-E682F1F2100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8275863865647592"/>
          <c:y val="7.6189190637129769E-2"/>
          <c:w val="0.4089464395182324"/>
          <c:h val="0.8476214280716424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1-C14A-5941-8249-8B3AF631517F}"/>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C14A-5941-8249-8B3AF631517F}"/>
              </c:ext>
            </c:extLst>
          </c:dPt>
          <c:dPt>
            <c:idx val="2"/>
            <c:invertIfNegative val="0"/>
            <c:bubble3D val="0"/>
            <c:spPr>
              <a:solidFill>
                <a:schemeClr val="tx1"/>
              </a:solidFill>
              <a:ln>
                <a:noFill/>
              </a:ln>
              <a:effectLst/>
            </c:spPr>
            <c:extLst>
              <c:ext xmlns:c16="http://schemas.microsoft.com/office/drawing/2014/chart" uri="{C3380CC4-5D6E-409C-BE32-E72D297353CC}">
                <c16:uniqueId val="{00000005-C14A-5941-8249-8B3AF631517F}"/>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7-C14A-5941-8249-8B3AF631517F}"/>
              </c:ext>
            </c:extLst>
          </c:dPt>
          <c:dPt>
            <c:idx val="4"/>
            <c:invertIfNegative val="0"/>
            <c:bubble3D val="0"/>
            <c:spPr>
              <a:solidFill>
                <a:schemeClr val="accent4"/>
              </a:solidFill>
              <a:ln>
                <a:noFill/>
              </a:ln>
              <a:effectLst/>
            </c:spPr>
            <c:extLst>
              <c:ext xmlns:c16="http://schemas.microsoft.com/office/drawing/2014/chart" uri="{C3380CC4-5D6E-409C-BE32-E72D297353CC}">
                <c16:uniqueId val="{00000009-C14A-5941-8249-8B3AF631517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'place_category data'!$J$6:$J$10</c:f>
              <c:strCache>
                <c:ptCount val="5"/>
                <c:pt idx="0">
                  <c:v>Ceremonial</c:v>
                </c:pt>
                <c:pt idx="1">
                  <c:v>Community</c:v>
                </c:pt>
                <c:pt idx="2">
                  <c:v>Massacre</c:v>
                </c:pt>
                <c:pt idx="3">
                  <c:v>Place</c:v>
                </c:pt>
                <c:pt idx="4">
                  <c:v>Resource</c:v>
                </c:pt>
              </c:strCache>
            </c:strRef>
          </c:cat>
          <c:val>
            <c:numRef>
              <c:f>'place_category data'!$K$6:$K$10</c:f>
              <c:numCache>
                <c:formatCode>General</c:formatCode>
                <c:ptCount val="5"/>
                <c:pt idx="0">
                  <c:v>56</c:v>
                </c:pt>
                <c:pt idx="1">
                  <c:v>155</c:v>
                </c:pt>
                <c:pt idx="2">
                  <c:v>27</c:v>
                </c:pt>
                <c:pt idx="3">
                  <c:v>27</c:v>
                </c:pt>
                <c:pt idx="4">
                  <c:v>41</c:v>
                </c:pt>
              </c:numCache>
            </c:numRef>
          </c:val>
          <c:extLst>
            <c:ext xmlns:c16="http://schemas.microsoft.com/office/drawing/2014/chart" uri="{C3380CC4-5D6E-409C-BE32-E72D297353CC}">
              <c16:uniqueId val="{0000000A-C14A-5941-8249-8B3AF631517F}"/>
            </c:ext>
          </c:extLst>
        </c:ser>
        <c:dLbls>
          <c:showLegendKey val="0"/>
          <c:showVal val="0"/>
          <c:showCatName val="0"/>
          <c:showSerName val="0"/>
          <c:showPercent val="0"/>
          <c:showBubbleSize val="0"/>
        </c:dLbls>
        <c:gapWidth val="182"/>
        <c:axId val="566348880"/>
        <c:axId val="566890768"/>
      </c:barChart>
      <c:catAx>
        <c:axId val="56634888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sz="1000" b="1"/>
                  <a:t>Place Category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66890768"/>
        <c:crosses val="autoZero"/>
        <c:auto val="1"/>
        <c:lblAlgn val="ctr"/>
        <c:lblOffset val="100"/>
        <c:noMultiLvlLbl val="0"/>
      </c:catAx>
      <c:valAx>
        <c:axId val="566890768"/>
        <c:scaling>
          <c:orientation val="minMax"/>
          <c:max val="16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Count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66348880"/>
        <c:crosses val="autoZero"/>
        <c:crossBetween val="between"/>
      </c:valAx>
      <c:spPr>
        <a:noFill/>
        <a:ln>
          <a:noFill/>
        </a:ln>
        <a:effectLst/>
      </c:spPr>
    </c:plotArea>
    <c:legend>
      <c:legendPos val="r"/>
      <c:layout>
        <c:manualLayout>
          <c:xMode val="edge"/>
          <c:yMode val="edge"/>
          <c:x val="0.80662598425196852"/>
          <c:y val="0.29070683872849229"/>
          <c:w val="0.19337401574803151"/>
          <c:h val="0.4185859580052493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Total place_type</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'place_type data'!$O$4</c:f>
              <c:strCache>
                <c:ptCount val="1"/>
                <c:pt idx="0">
                  <c:v>count of all  place_type #</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BA00-994D-AB44-E72CF02E606D}"/>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2-BA00-994D-AB44-E72CF02E606D}"/>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3-BA00-994D-AB44-E72CF02E606D}"/>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4-BA00-994D-AB44-E72CF02E606D}"/>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5-BA00-994D-AB44-E72CF02E606D}"/>
              </c:ext>
            </c:extLst>
          </c:dPt>
          <c:dPt>
            <c:idx val="5"/>
            <c:invertIfNegative val="0"/>
            <c:bubble3D val="0"/>
            <c:spPr>
              <a:solidFill>
                <a:schemeClr val="accent4"/>
              </a:solidFill>
              <a:ln>
                <a:noFill/>
              </a:ln>
              <a:effectLst/>
            </c:spPr>
            <c:extLst>
              <c:ext xmlns:c16="http://schemas.microsoft.com/office/drawing/2014/chart" uri="{C3380CC4-5D6E-409C-BE32-E72D297353CC}">
                <c16:uniqueId val="{00000006-BA00-994D-AB44-E72CF02E606D}"/>
              </c:ext>
            </c:extLst>
          </c:dPt>
          <c:dPt>
            <c:idx val="6"/>
            <c:invertIfNegative val="0"/>
            <c:bubble3D val="0"/>
            <c:spPr>
              <a:solidFill>
                <a:schemeClr val="accent5"/>
              </a:solidFill>
              <a:ln>
                <a:noFill/>
              </a:ln>
              <a:effectLst/>
            </c:spPr>
            <c:extLst>
              <c:ext xmlns:c16="http://schemas.microsoft.com/office/drawing/2014/chart" uri="{C3380CC4-5D6E-409C-BE32-E72D297353CC}">
                <c16:uniqueId val="{00000007-BA00-994D-AB44-E72CF02E606D}"/>
              </c:ext>
            </c:extLst>
          </c:dPt>
          <c:dPt>
            <c:idx val="7"/>
            <c:invertIfNegative val="0"/>
            <c:bubble3D val="0"/>
            <c:spPr>
              <a:solidFill>
                <a:schemeClr val="accent4"/>
              </a:solidFill>
              <a:ln>
                <a:noFill/>
              </a:ln>
              <a:effectLst/>
            </c:spPr>
            <c:extLst>
              <c:ext xmlns:c16="http://schemas.microsoft.com/office/drawing/2014/chart" uri="{C3380CC4-5D6E-409C-BE32-E72D297353CC}">
                <c16:uniqueId val="{00000008-BA00-994D-AB44-E72CF02E606D}"/>
              </c:ext>
            </c:extLst>
          </c:dPt>
          <c:dPt>
            <c:idx val="8"/>
            <c:invertIfNegative val="0"/>
            <c:bubble3D val="0"/>
            <c:spPr>
              <a:solidFill>
                <a:schemeClr val="accent4"/>
              </a:solidFill>
              <a:ln>
                <a:noFill/>
              </a:ln>
              <a:effectLst/>
            </c:spPr>
            <c:extLst>
              <c:ext xmlns:c16="http://schemas.microsoft.com/office/drawing/2014/chart" uri="{C3380CC4-5D6E-409C-BE32-E72D297353CC}">
                <c16:uniqueId val="{00000009-BA00-994D-AB44-E72CF02E606D}"/>
              </c:ext>
            </c:extLst>
          </c:dPt>
          <c:dPt>
            <c:idx val="9"/>
            <c:invertIfNegative val="0"/>
            <c:bubble3D val="0"/>
            <c:spPr>
              <a:solidFill>
                <a:schemeClr val="accent4"/>
              </a:solidFill>
              <a:ln>
                <a:noFill/>
              </a:ln>
              <a:effectLst/>
            </c:spPr>
            <c:extLst>
              <c:ext xmlns:c16="http://schemas.microsoft.com/office/drawing/2014/chart" uri="{C3380CC4-5D6E-409C-BE32-E72D297353CC}">
                <c16:uniqueId val="{0000000A-BA00-994D-AB44-E72CF02E606D}"/>
              </c:ext>
            </c:extLst>
          </c:dPt>
          <c:dPt>
            <c:idx val="10"/>
            <c:invertIfNegative val="0"/>
            <c:bubble3D val="0"/>
            <c:spPr>
              <a:solidFill>
                <a:schemeClr val="accent4"/>
              </a:solidFill>
              <a:ln>
                <a:noFill/>
              </a:ln>
              <a:effectLst/>
            </c:spPr>
            <c:extLst>
              <c:ext xmlns:c16="http://schemas.microsoft.com/office/drawing/2014/chart" uri="{C3380CC4-5D6E-409C-BE32-E72D297353CC}">
                <c16:uniqueId val="{0000000B-BA00-994D-AB44-E72CF02E606D}"/>
              </c:ext>
            </c:extLst>
          </c:dPt>
          <c:dPt>
            <c:idx val="11"/>
            <c:invertIfNegative val="0"/>
            <c:bubble3D val="0"/>
            <c:spPr>
              <a:solidFill>
                <a:schemeClr val="accent4"/>
              </a:solidFill>
              <a:ln>
                <a:noFill/>
              </a:ln>
              <a:effectLst/>
            </c:spPr>
            <c:extLst>
              <c:ext xmlns:c16="http://schemas.microsoft.com/office/drawing/2014/chart" uri="{C3380CC4-5D6E-409C-BE32-E72D297353CC}">
                <c16:uniqueId val="{0000000C-BA00-994D-AB44-E72CF02E606D}"/>
              </c:ext>
            </c:extLst>
          </c:dPt>
          <c:dPt>
            <c:idx val="12"/>
            <c:invertIfNegative val="0"/>
            <c:bubble3D val="0"/>
            <c:spPr>
              <a:solidFill>
                <a:schemeClr val="accent4"/>
              </a:solidFill>
              <a:ln>
                <a:noFill/>
              </a:ln>
              <a:effectLst/>
            </c:spPr>
            <c:extLst>
              <c:ext xmlns:c16="http://schemas.microsoft.com/office/drawing/2014/chart" uri="{C3380CC4-5D6E-409C-BE32-E72D297353CC}">
                <c16:uniqueId val="{0000000D-BA00-994D-AB44-E72CF02E606D}"/>
              </c:ext>
            </c:extLst>
          </c:dPt>
          <c:dPt>
            <c:idx val="13"/>
            <c:invertIfNegative val="0"/>
            <c:bubble3D val="0"/>
            <c:spPr>
              <a:solidFill>
                <a:schemeClr val="tx2"/>
              </a:solidFill>
              <a:ln>
                <a:noFill/>
              </a:ln>
              <a:effectLst/>
            </c:spPr>
            <c:extLst>
              <c:ext xmlns:c16="http://schemas.microsoft.com/office/drawing/2014/chart" uri="{C3380CC4-5D6E-409C-BE32-E72D297353CC}">
                <c16:uniqueId val="{0000000E-BA00-994D-AB44-E72CF02E606D}"/>
              </c:ext>
            </c:extLst>
          </c:dPt>
          <c:dPt>
            <c:idx val="14"/>
            <c:invertIfNegative val="0"/>
            <c:bubble3D val="0"/>
            <c:spPr>
              <a:solidFill>
                <a:schemeClr val="accent4"/>
              </a:solidFill>
              <a:ln>
                <a:noFill/>
              </a:ln>
              <a:effectLst/>
            </c:spPr>
            <c:extLst>
              <c:ext xmlns:c16="http://schemas.microsoft.com/office/drawing/2014/chart" uri="{C3380CC4-5D6E-409C-BE32-E72D297353CC}">
                <c16:uniqueId val="{0000000F-BA00-994D-AB44-E72CF02E606D}"/>
              </c:ext>
            </c:extLst>
          </c:dPt>
          <c:dPt>
            <c:idx val="15"/>
            <c:invertIfNegative val="0"/>
            <c:bubble3D val="0"/>
            <c:spPr>
              <a:solidFill>
                <a:schemeClr val="accent2"/>
              </a:solidFill>
              <a:ln>
                <a:noFill/>
              </a:ln>
              <a:effectLst/>
            </c:spPr>
            <c:extLst>
              <c:ext xmlns:c16="http://schemas.microsoft.com/office/drawing/2014/chart" uri="{C3380CC4-5D6E-409C-BE32-E72D297353CC}">
                <c16:uniqueId val="{00000010-BA00-994D-AB44-E72CF02E606D}"/>
              </c:ext>
            </c:extLst>
          </c:dPt>
          <c:dPt>
            <c:idx val="16"/>
            <c:invertIfNegative val="0"/>
            <c:bubble3D val="0"/>
            <c:spPr>
              <a:solidFill>
                <a:schemeClr val="accent2"/>
              </a:solidFill>
              <a:ln>
                <a:noFill/>
              </a:ln>
              <a:effectLst/>
            </c:spPr>
            <c:extLst>
              <c:ext xmlns:c16="http://schemas.microsoft.com/office/drawing/2014/chart" uri="{C3380CC4-5D6E-409C-BE32-E72D297353CC}">
                <c16:uniqueId val="{00000011-BA00-994D-AB44-E72CF02E606D}"/>
              </c:ext>
            </c:extLst>
          </c:dPt>
          <c:dPt>
            <c:idx val="17"/>
            <c:invertIfNegative val="0"/>
            <c:bubble3D val="0"/>
            <c:spPr>
              <a:solidFill>
                <a:schemeClr val="accent6"/>
              </a:solidFill>
              <a:ln>
                <a:noFill/>
              </a:ln>
              <a:effectLst/>
            </c:spPr>
            <c:extLst>
              <c:ext xmlns:c16="http://schemas.microsoft.com/office/drawing/2014/chart" uri="{C3380CC4-5D6E-409C-BE32-E72D297353CC}">
                <c16:uniqueId val="{00000012-BA00-994D-AB44-E72CF02E606D}"/>
              </c:ext>
            </c:extLst>
          </c:dPt>
          <c:dPt>
            <c:idx val="18"/>
            <c:invertIfNegative val="0"/>
            <c:bubble3D val="0"/>
            <c:spPr>
              <a:solidFill>
                <a:schemeClr val="accent4"/>
              </a:solidFill>
              <a:ln>
                <a:noFill/>
              </a:ln>
              <a:effectLst/>
            </c:spPr>
            <c:extLst>
              <c:ext xmlns:c16="http://schemas.microsoft.com/office/drawing/2014/chart" uri="{C3380CC4-5D6E-409C-BE32-E72D297353CC}">
                <c16:uniqueId val="{00000013-BA00-994D-AB44-E72CF02E606D}"/>
              </c:ext>
            </c:extLst>
          </c:dPt>
          <c:dPt>
            <c:idx val="19"/>
            <c:invertIfNegative val="0"/>
            <c:bubble3D val="0"/>
            <c:spPr>
              <a:solidFill>
                <a:schemeClr val="accent4"/>
              </a:solidFill>
              <a:ln>
                <a:noFill/>
              </a:ln>
              <a:effectLst/>
            </c:spPr>
            <c:extLst>
              <c:ext xmlns:c16="http://schemas.microsoft.com/office/drawing/2014/chart" uri="{C3380CC4-5D6E-409C-BE32-E72D297353CC}">
                <c16:uniqueId val="{00000014-BA00-994D-AB44-E72CF02E606D}"/>
              </c:ext>
            </c:extLst>
          </c:dPt>
          <c:dPt>
            <c:idx val="20"/>
            <c:invertIfNegative val="0"/>
            <c:bubble3D val="0"/>
            <c:spPr>
              <a:solidFill>
                <a:schemeClr val="accent4"/>
              </a:solidFill>
              <a:ln>
                <a:noFill/>
              </a:ln>
              <a:effectLst/>
            </c:spPr>
            <c:extLst>
              <c:ext xmlns:c16="http://schemas.microsoft.com/office/drawing/2014/chart" uri="{C3380CC4-5D6E-409C-BE32-E72D297353CC}">
                <c16:uniqueId val="{00000015-BA00-994D-AB44-E72CF02E606D}"/>
              </c:ext>
            </c:extLst>
          </c:dPt>
          <c:dPt>
            <c:idx val="21"/>
            <c:invertIfNegative val="0"/>
            <c:bubble3D val="0"/>
            <c:spPr>
              <a:solidFill>
                <a:schemeClr val="accent4"/>
              </a:solidFill>
              <a:ln>
                <a:noFill/>
              </a:ln>
              <a:effectLst/>
            </c:spPr>
            <c:extLst>
              <c:ext xmlns:c16="http://schemas.microsoft.com/office/drawing/2014/chart" uri="{C3380CC4-5D6E-409C-BE32-E72D297353CC}">
                <c16:uniqueId val="{00000016-BA00-994D-AB44-E72CF02E606D}"/>
              </c:ext>
            </c:extLst>
          </c:dPt>
          <c:cat>
            <c:strRef>
              <c:f>'place_type data'!$N$5:$N$26</c:f>
              <c:strCache>
                <c:ptCount val="22"/>
                <c:pt idx="0">
                  <c:v>Aboriginal community</c:v>
                </c:pt>
                <c:pt idx="1">
                  <c:v>Autonomous</c:v>
                </c:pt>
                <c:pt idx="2">
                  <c:v>Bora ground</c:v>
                </c:pt>
                <c:pt idx="3">
                  <c:v>Burial ground</c:v>
                </c:pt>
                <c:pt idx="4">
                  <c:v>CMT (Ceremonial)</c:v>
                </c:pt>
                <c:pt idx="5">
                  <c:v>CMT (Resource)</c:v>
                </c:pt>
                <c:pt idx="6">
                  <c:v>Dreaming story</c:v>
                </c:pt>
                <c:pt idx="7">
                  <c:v>Fish traps</c:v>
                </c:pt>
                <c:pt idx="8">
                  <c:v>Food procurement</c:v>
                </c:pt>
                <c:pt idx="9">
                  <c:v>Grinding grooves</c:v>
                </c:pt>
                <c:pt idx="10">
                  <c:v>Grindstone</c:v>
                </c:pt>
                <c:pt idx="11">
                  <c:v>Hearth</c:v>
                </c:pt>
                <c:pt idx="12">
                  <c:v>Kopi</c:v>
                </c:pt>
                <c:pt idx="13">
                  <c:v>Massacre</c:v>
                </c:pt>
                <c:pt idx="14">
                  <c:v>Midden</c:v>
                </c:pt>
                <c:pt idx="15">
                  <c:v>Mission/Reserve</c:v>
                </c:pt>
                <c:pt idx="16">
                  <c:v>Pastoral</c:v>
                </c:pt>
                <c:pt idx="17">
                  <c:v>Place</c:v>
                </c:pt>
                <c:pt idx="18">
                  <c:v>Seed harvesting</c:v>
                </c:pt>
                <c:pt idx="19">
                  <c:v>Stone arrangement</c:v>
                </c:pt>
                <c:pt idx="20">
                  <c:v>Stone artefact scatter</c:v>
                </c:pt>
                <c:pt idx="21">
                  <c:v>Stone quarry</c:v>
                </c:pt>
              </c:strCache>
            </c:strRef>
          </c:cat>
          <c:val>
            <c:numRef>
              <c:f>'place_type data'!$O$5:$O$26</c:f>
              <c:numCache>
                <c:formatCode>General</c:formatCode>
                <c:ptCount val="22"/>
                <c:pt idx="0">
                  <c:v>51</c:v>
                </c:pt>
                <c:pt idx="1">
                  <c:v>53</c:v>
                </c:pt>
                <c:pt idx="2">
                  <c:v>10</c:v>
                </c:pt>
                <c:pt idx="3">
                  <c:v>9</c:v>
                </c:pt>
                <c:pt idx="4">
                  <c:v>7</c:v>
                </c:pt>
                <c:pt idx="5">
                  <c:v>2</c:v>
                </c:pt>
                <c:pt idx="6">
                  <c:v>36</c:v>
                </c:pt>
                <c:pt idx="7">
                  <c:v>12</c:v>
                </c:pt>
                <c:pt idx="8">
                  <c:v>5</c:v>
                </c:pt>
                <c:pt idx="9">
                  <c:v>5</c:v>
                </c:pt>
                <c:pt idx="10">
                  <c:v>2</c:v>
                </c:pt>
                <c:pt idx="11">
                  <c:v>1</c:v>
                </c:pt>
                <c:pt idx="12">
                  <c:v>2</c:v>
                </c:pt>
                <c:pt idx="13">
                  <c:v>27</c:v>
                </c:pt>
                <c:pt idx="14">
                  <c:v>7</c:v>
                </c:pt>
                <c:pt idx="15">
                  <c:v>22</c:v>
                </c:pt>
                <c:pt idx="16">
                  <c:v>37</c:v>
                </c:pt>
                <c:pt idx="17">
                  <c:v>26</c:v>
                </c:pt>
                <c:pt idx="18">
                  <c:v>1</c:v>
                </c:pt>
                <c:pt idx="19">
                  <c:v>1</c:v>
                </c:pt>
                <c:pt idx="20">
                  <c:v>9</c:v>
                </c:pt>
                <c:pt idx="21">
                  <c:v>2</c:v>
                </c:pt>
              </c:numCache>
            </c:numRef>
          </c:val>
          <c:extLst>
            <c:ext xmlns:c16="http://schemas.microsoft.com/office/drawing/2014/chart" uri="{C3380CC4-5D6E-409C-BE32-E72D297353CC}">
              <c16:uniqueId val="{00000000-BA00-994D-AB44-E72CF02E606D}"/>
            </c:ext>
          </c:extLst>
        </c:ser>
        <c:dLbls>
          <c:showLegendKey val="0"/>
          <c:showVal val="0"/>
          <c:showCatName val="0"/>
          <c:showSerName val="0"/>
          <c:showPercent val="0"/>
          <c:showBubbleSize val="0"/>
        </c:dLbls>
        <c:gapWidth val="182"/>
        <c:axId val="728381504"/>
        <c:axId val="728383216"/>
      </c:barChart>
      <c:catAx>
        <c:axId val="72838150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28383216"/>
        <c:crosses val="autoZero"/>
        <c:auto val="1"/>
        <c:lblAlgn val="ctr"/>
        <c:lblOffset val="100"/>
        <c:noMultiLvlLbl val="0"/>
      </c:catAx>
      <c:valAx>
        <c:axId val="728383216"/>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2838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'place_type data'!$S$4</c:f>
              <c:strCache>
                <c:ptCount val="1"/>
                <c:pt idx="0">
                  <c:v>count</c:v>
                </c:pt>
              </c:strCache>
            </c:strRef>
          </c:tx>
          <c:spPr>
            <a:solidFill>
              <a:schemeClr val="accent1"/>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9-4184-C840-BB83-C04829068DC4}"/>
              </c:ext>
            </c:extLst>
          </c:dPt>
          <c:dPt>
            <c:idx val="1"/>
            <c:invertIfNegative val="0"/>
            <c:bubble3D val="0"/>
            <c:spPr>
              <a:solidFill>
                <a:srgbClr val="C00000"/>
              </a:solidFill>
              <a:ln>
                <a:noFill/>
              </a:ln>
              <a:effectLst/>
            </c:spPr>
            <c:extLst>
              <c:ext xmlns:c16="http://schemas.microsoft.com/office/drawing/2014/chart" uri="{C3380CC4-5D6E-409C-BE32-E72D297353CC}">
                <c16:uniqueId val="{00000008-4184-C840-BB83-C04829068DC4}"/>
              </c:ext>
            </c:extLst>
          </c:dPt>
          <c:dPt>
            <c:idx val="2"/>
            <c:invertIfNegative val="0"/>
            <c:bubble3D val="0"/>
            <c:spPr>
              <a:solidFill>
                <a:srgbClr val="0070C0"/>
              </a:solidFill>
              <a:ln>
                <a:noFill/>
              </a:ln>
              <a:effectLst/>
            </c:spPr>
            <c:extLst>
              <c:ext xmlns:c16="http://schemas.microsoft.com/office/drawing/2014/chart" uri="{C3380CC4-5D6E-409C-BE32-E72D297353CC}">
                <c16:uniqueId val="{00000007-4184-C840-BB83-C04829068DC4}"/>
              </c:ext>
            </c:extLst>
          </c:dPt>
          <c:dPt>
            <c:idx val="3"/>
            <c:invertIfNegative val="0"/>
            <c:bubble3D val="0"/>
            <c:spPr>
              <a:solidFill>
                <a:schemeClr val="accent3"/>
              </a:solidFill>
              <a:ln>
                <a:noFill/>
              </a:ln>
              <a:effectLst/>
            </c:spPr>
            <c:extLst>
              <c:ext xmlns:c16="http://schemas.microsoft.com/office/drawing/2014/chart" uri="{C3380CC4-5D6E-409C-BE32-E72D297353CC}">
                <c16:uniqueId val="{00000006-4184-C840-BB83-C04829068DC4}"/>
              </c:ext>
            </c:extLst>
          </c:dPt>
          <c:dLbls>
            <c:dLbl>
              <c:idx val="0"/>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184-C840-BB83-C04829068DC4}"/>
                </c:ext>
              </c:extLst>
            </c:dLbl>
            <c:dLbl>
              <c:idx val="1"/>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184-C840-BB83-C04829068DC4}"/>
                </c:ext>
              </c:extLst>
            </c:dLbl>
            <c:dLbl>
              <c:idx val="2"/>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184-C840-BB83-C04829068DC4}"/>
                </c:ext>
              </c:extLst>
            </c:dLbl>
            <c:dLbl>
              <c:idx val="3"/>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184-C840-BB83-C04829068DC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'place_type data'!$R$5:$R$8</c:f>
              <c:strCache>
                <c:ptCount val="4"/>
                <c:pt idx="0">
                  <c:v>Aboriginal community</c:v>
                </c:pt>
                <c:pt idx="1">
                  <c:v>Autonomous</c:v>
                </c:pt>
                <c:pt idx="2">
                  <c:v>Mission/Reserve</c:v>
                </c:pt>
                <c:pt idx="3">
                  <c:v>Pastoral</c:v>
                </c:pt>
              </c:strCache>
            </c:strRef>
          </c:cat>
          <c:val>
            <c:numRef>
              <c:f>'place_type data'!$S$5:$S$8</c:f>
              <c:numCache>
                <c:formatCode>General</c:formatCode>
                <c:ptCount val="4"/>
                <c:pt idx="0">
                  <c:v>46</c:v>
                </c:pt>
                <c:pt idx="1">
                  <c:v>51</c:v>
                </c:pt>
                <c:pt idx="2">
                  <c:v>22</c:v>
                </c:pt>
                <c:pt idx="3">
                  <c:v>36</c:v>
                </c:pt>
              </c:numCache>
            </c:numRef>
          </c:val>
          <c:extLst>
            <c:ext xmlns:c16="http://schemas.microsoft.com/office/drawing/2014/chart" uri="{C3380CC4-5D6E-409C-BE32-E72D297353CC}">
              <c16:uniqueId val="{00000000-4184-C840-BB83-C04829068DC4}"/>
            </c:ext>
          </c:extLst>
        </c:ser>
        <c:dLbls>
          <c:showLegendKey val="0"/>
          <c:showVal val="0"/>
          <c:showCatName val="0"/>
          <c:showSerName val="0"/>
          <c:showPercent val="0"/>
          <c:showBubbleSize val="0"/>
        </c:dLbls>
        <c:gapWidth val="150"/>
        <c:axId val="1057545487"/>
        <c:axId val="1151443119"/>
      </c:barChart>
      <c:catAx>
        <c:axId val="105754548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sz="1000" b="1"/>
                  <a:t>Community</a:t>
                </a:r>
                <a:r>
                  <a:rPr lang="en-GB" sz="1000" b="1" baseline="0"/>
                  <a:t> Type</a:t>
                </a:r>
                <a:endParaRPr lang="en-GB" sz="1000"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151443119"/>
        <c:crosses val="autoZero"/>
        <c:auto val="1"/>
        <c:lblAlgn val="ctr"/>
        <c:lblOffset val="100"/>
        <c:noMultiLvlLbl val="0"/>
      </c:catAx>
      <c:valAx>
        <c:axId val="11514431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sz="1000" b="1"/>
                  <a:t>Count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545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068715743180974"/>
          <c:y val="0.12042207792207793"/>
          <c:w val="0.77709518343061323"/>
          <c:h val="0.73024874731567646"/>
        </c:manualLayout>
      </c:layout>
      <c:barChart>
        <c:barDir val="bar"/>
        <c:grouping val="stacked"/>
        <c:varyColors val="0"/>
        <c:ser>
          <c:idx val="0"/>
          <c:order val="0"/>
          <c:tx>
            <c:strRef>
              <c:f>'place_type by place_category'!$V$4</c:f>
              <c:strCache>
                <c:ptCount val="1"/>
                <c:pt idx="0">
                  <c:v>Ceremonial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'place_type by place_category'!$U$5:$U$26</c:f>
              <c:strCache>
                <c:ptCount val="22"/>
                <c:pt idx="0">
                  <c:v>Aboriginal community</c:v>
                </c:pt>
                <c:pt idx="1">
                  <c:v>Autonomous</c:v>
                </c:pt>
                <c:pt idx="2">
                  <c:v>Bora ground</c:v>
                </c:pt>
                <c:pt idx="3">
                  <c:v>Burial ground</c:v>
                </c:pt>
                <c:pt idx="4">
                  <c:v>CMT (ceremonial)</c:v>
                </c:pt>
                <c:pt idx="5">
                  <c:v>CMT (resource)</c:v>
                </c:pt>
                <c:pt idx="6">
                  <c:v>Dreaming story</c:v>
                </c:pt>
                <c:pt idx="7">
                  <c:v>Fish traps</c:v>
                </c:pt>
                <c:pt idx="8">
                  <c:v>Food procurement</c:v>
                </c:pt>
                <c:pt idx="9">
                  <c:v>Grinding grooves</c:v>
                </c:pt>
                <c:pt idx="10">
                  <c:v>Grindstone</c:v>
                </c:pt>
                <c:pt idx="11">
                  <c:v>Hearth</c:v>
                </c:pt>
                <c:pt idx="12">
                  <c:v>Kopi</c:v>
                </c:pt>
                <c:pt idx="13">
                  <c:v>Massacre</c:v>
                </c:pt>
                <c:pt idx="14">
                  <c:v>Midden</c:v>
                </c:pt>
                <c:pt idx="15">
                  <c:v>Mission/Reserve</c:v>
                </c:pt>
                <c:pt idx="16">
                  <c:v>Pastoral</c:v>
                </c:pt>
                <c:pt idx="17">
                  <c:v>Place</c:v>
                </c:pt>
                <c:pt idx="18">
                  <c:v>Seed harvesting</c:v>
                </c:pt>
                <c:pt idx="19">
                  <c:v>Stone arrangement</c:v>
                </c:pt>
                <c:pt idx="20">
                  <c:v>Stone artefact scatter</c:v>
                </c:pt>
                <c:pt idx="21">
                  <c:v>Stone quarry</c:v>
                </c:pt>
              </c:strCache>
            </c:strRef>
          </c:cat>
          <c:val>
            <c:numRef>
              <c:f>'place_type by place_category'!$V$5:$V$26</c:f>
              <c:numCache>
                <c:formatCode>General</c:formatCode>
                <c:ptCount val="22"/>
                <c:pt idx="2">
                  <c:v>10</c:v>
                </c:pt>
                <c:pt idx="3">
                  <c:v>9</c:v>
                </c:pt>
                <c:pt idx="4">
                  <c:v>7</c:v>
                </c:pt>
                <c:pt idx="6">
                  <c:v>36</c:v>
                </c:pt>
                <c:pt idx="19">
                  <c:v>1</c:v>
                </c:pt>
              </c:numCache>
            </c:numRef>
          </c:val>
          <c:extLst>
            <c:ext xmlns:c16="http://schemas.microsoft.com/office/drawing/2014/chart" uri="{C3380CC4-5D6E-409C-BE32-E72D297353CC}">
              <c16:uniqueId val="{00000000-5CAD-B44C-B668-CB9EC56F1C57}"/>
            </c:ext>
          </c:extLst>
        </c:ser>
        <c:ser>
          <c:idx val="1"/>
          <c:order val="1"/>
          <c:tx>
            <c:strRef>
              <c:f>'place_type by place_category'!$W$4</c:f>
              <c:strCache>
                <c:ptCount val="1"/>
                <c:pt idx="0">
                  <c:v>Community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'place_type by place_category'!$U$5:$U$26</c:f>
              <c:strCache>
                <c:ptCount val="22"/>
                <c:pt idx="0">
                  <c:v>Aboriginal community</c:v>
                </c:pt>
                <c:pt idx="1">
                  <c:v>Autonomous</c:v>
                </c:pt>
                <c:pt idx="2">
                  <c:v>Bora ground</c:v>
                </c:pt>
                <c:pt idx="3">
                  <c:v>Burial ground</c:v>
                </c:pt>
                <c:pt idx="4">
                  <c:v>CMT (ceremonial)</c:v>
                </c:pt>
                <c:pt idx="5">
                  <c:v>CMT (resource)</c:v>
                </c:pt>
                <c:pt idx="6">
                  <c:v>Dreaming story</c:v>
                </c:pt>
                <c:pt idx="7">
                  <c:v>Fish traps</c:v>
                </c:pt>
                <c:pt idx="8">
                  <c:v>Food procurement</c:v>
                </c:pt>
                <c:pt idx="9">
                  <c:v>Grinding grooves</c:v>
                </c:pt>
                <c:pt idx="10">
                  <c:v>Grindstone</c:v>
                </c:pt>
                <c:pt idx="11">
                  <c:v>Hearth</c:v>
                </c:pt>
                <c:pt idx="12">
                  <c:v>Kopi</c:v>
                </c:pt>
                <c:pt idx="13">
                  <c:v>Massacre</c:v>
                </c:pt>
                <c:pt idx="14">
                  <c:v>Midden</c:v>
                </c:pt>
                <c:pt idx="15">
                  <c:v>Mission/Reserve</c:v>
                </c:pt>
                <c:pt idx="16">
                  <c:v>Pastoral</c:v>
                </c:pt>
                <c:pt idx="17">
                  <c:v>Place</c:v>
                </c:pt>
                <c:pt idx="18">
                  <c:v>Seed harvesting</c:v>
                </c:pt>
                <c:pt idx="19">
                  <c:v>Stone arrangement</c:v>
                </c:pt>
                <c:pt idx="20">
                  <c:v>Stone artefact scatter</c:v>
                </c:pt>
                <c:pt idx="21">
                  <c:v>Stone quarry</c:v>
                </c:pt>
              </c:strCache>
            </c:strRef>
          </c:cat>
          <c:val>
            <c:numRef>
              <c:f>'place_type by place_category'!$W$5:$W$26</c:f>
              <c:numCache>
                <c:formatCode>General</c:formatCode>
                <c:ptCount val="22"/>
                <c:pt idx="0">
                  <c:v>46</c:v>
                </c:pt>
                <c:pt idx="1">
                  <c:v>51</c:v>
                </c:pt>
                <c:pt idx="15">
                  <c:v>22</c:v>
                </c:pt>
                <c:pt idx="16">
                  <c:v>36</c:v>
                </c:pt>
              </c:numCache>
            </c:numRef>
          </c:val>
          <c:extLst>
            <c:ext xmlns:c16="http://schemas.microsoft.com/office/drawing/2014/chart" uri="{C3380CC4-5D6E-409C-BE32-E72D297353CC}">
              <c16:uniqueId val="{00000001-5CAD-B44C-B668-CB9EC56F1C57}"/>
            </c:ext>
          </c:extLst>
        </c:ser>
        <c:ser>
          <c:idx val="2"/>
          <c:order val="2"/>
          <c:tx>
            <c:strRef>
              <c:f>'place_type by place_category'!$X$4</c:f>
              <c:strCache>
                <c:ptCount val="1"/>
                <c:pt idx="0">
                  <c:v>Massacre</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'place_type by place_category'!$U$5:$U$26</c:f>
              <c:strCache>
                <c:ptCount val="22"/>
                <c:pt idx="0">
                  <c:v>Aboriginal community</c:v>
                </c:pt>
                <c:pt idx="1">
                  <c:v>Autonomous</c:v>
                </c:pt>
                <c:pt idx="2">
                  <c:v>Bora ground</c:v>
                </c:pt>
                <c:pt idx="3">
                  <c:v>Burial ground</c:v>
                </c:pt>
                <c:pt idx="4">
                  <c:v>CMT (ceremonial)</c:v>
                </c:pt>
                <c:pt idx="5">
                  <c:v>CMT (resource)</c:v>
                </c:pt>
                <c:pt idx="6">
                  <c:v>Dreaming story</c:v>
                </c:pt>
                <c:pt idx="7">
                  <c:v>Fish traps</c:v>
                </c:pt>
                <c:pt idx="8">
                  <c:v>Food procurement</c:v>
                </c:pt>
                <c:pt idx="9">
                  <c:v>Grinding grooves</c:v>
                </c:pt>
                <c:pt idx="10">
                  <c:v>Grindstone</c:v>
                </c:pt>
                <c:pt idx="11">
                  <c:v>Hearth</c:v>
                </c:pt>
                <c:pt idx="12">
                  <c:v>Kopi</c:v>
                </c:pt>
                <c:pt idx="13">
                  <c:v>Massacre</c:v>
                </c:pt>
                <c:pt idx="14">
                  <c:v>Midden</c:v>
                </c:pt>
                <c:pt idx="15">
                  <c:v>Mission/Reserve</c:v>
                </c:pt>
                <c:pt idx="16">
                  <c:v>Pastoral</c:v>
                </c:pt>
                <c:pt idx="17">
                  <c:v>Place</c:v>
                </c:pt>
                <c:pt idx="18">
                  <c:v>Seed harvesting</c:v>
                </c:pt>
                <c:pt idx="19">
                  <c:v>Stone arrangement</c:v>
                </c:pt>
                <c:pt idx="20">
                  <c:v>Stone artefact scatter</c:v>
                </c:pt>
                <c:pt idx="21">
                  <c:v>Stone quarry</c:v>
                </c:pt>
              </c:strCache>
            </c:strRef>
          </c:cat>
          <c:val>
            <c:numRef>
              <c:f>'place_type by place_category'!$X$5:$X$26</c:f>
              <c:numCache>
                <c:formatCode>General</c:formatCode>
                <c:ptCount val="22"/>
                <c:pt idx="13">
                  <c:v>27</c:v>
                </c:pt>
              </c:numCache>
            </c:numRef>
          </c:val>
          <c:extLst>
            <c:ext xmlns:c16="http://schemas.microsoft.com/office/drawing/2014/chart" uri="{C3380CC4-5D6E-409C-BE32-E72D297353CC}">
              <c16:uniqueId val="{00000002-5CAD-B44C-B668-CB9EC56F1C57}"/>
            </c:ext>
          </c:extLst>
        </c:ser>
        <c:ser>
          <c:idx val="3"/>
          <c:order val="3"/>
          <c:tx>
            <c:strRef>
              <c:f>'place_type by place_category'!$Y$4</c:f>
              <c:strCache>
                <c:ptCount val="1"/>
                <c:pt idx="0">
                  <c:v>Place</c:v>
                </c:pt>
              </c:strCache>
            </c:strRef>
          </c:tx>
          <c:spPr>
            <a:solidFill>
              <a:schemeClr val="accent6"/>
            </a:solidFill>
            <a:ln>
              <a:noFill/>
            </a:ln>
            <a:effectLst/>
          </c:spPr>
          <c:invertIfNegative val="0"/>
          <c:dLbls>
            <c:dLbl>
              <c:idx val="17"/>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0-5A56-CC43-995E-2D1446B66B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'place_type by place_category'!$U$5:$U$26</c:f>
              <c:strCache>
                <c:ptCount val="22"/>
                <c:pt idx="0">
                  <c:v>Aboriginal community</c:v>
                </c:pt>
                <c:pt idx="1">
                  <c:v>Autonomous</c:v>
                </c:pt>
                <c:pt idx="2">
                  <c:v>Bora ground</c:v>
                </c:pt>
                <c:pt idx="3">
                  <c:v>Burial ground</c:v>
                </c:pt>
                <c:pt idx="4">
                  <c:v>CMT (ceremonial)</c:v>
                </c:pt>
                <c:pt idx="5">
                  <c:v>CMT (resource)</c:v>
                </c:pt>
                <c:pt idx="6">
                  <c:v>Dreaming story</c:v>
                </c:pt>
                <c:pt idx="7">
                  <c:v>Fish traps</c:v>
                </c:pt>
                <c:pt idx="8">
                  <c:v>Food procurement</c:v>
                </c:pt>
                <c:pt idx="9">
                  <c:v>Grinding grooves</c:v>
                </c:pt>
                <c:pt idx="10">
                  <c:v>Grindstone</c:v>
                </c:pt>
                <c:pt idx="11">
                  <c:v>Hearth</c:v>
                </c:pt>
                <c:pt idx="12">
                  <c:v>Kopi</c:v>
                </c:pt>
                <c:pt idx="13">
                  <c:v>Massacre</c:v>
                </c:pt>
                <c:pt idx="14">
                  <c:v>Midden</c:v>
                </c:pt>
                <c:pt idx="15">
                  <c:v>Mission/Reserve</c:v>
                </c:pt>
                <c:pt idx="16">
                  <c:v>Pastoral</c:v>
                </c:pt>
                <c:pt idx="17">
                  <c:v>Place</c:v>
                </c:pt>
                <c:pt idx="18">
                  <c:v>Seed harvesting</c:v>
                </c:pt>
                <c:pt idx="19">
                  <c:v>Stone arrangement</c:v>
                </c:pt>
                <c:pt idx="20">
                  <c:v>Stone artefact scatter</c:v>
                </c:pt>
                <c:pt idx="21">
                  <c:v>Stone quarry</c:v>
                </c:pt>
              </c:strCache>
            </c:strRef>
          </c:cat>
          <c:val>
            <c:numRef>
              <c:f>'place_type by place_category'!$Y$5:$Y$26</c:f>
              <c:numCache>
                <c:formatCode>General</c:formatCode>
                <c:ptCount val="22"/>
                <c:pt idx="17">
                  <c:v>27</c:v>
                </c:pt>
              </c:numCache>
            </c:numRef>
          </c:val>
          <c:extLst>
            <c:ext xmlns:c16="http://schemas.microsoft.com/office/drawing/2014/chart" uri="{C3380CC4-5D6E-409C-BE32-E72D297353CC}">
              <c16:uniqueId val="{00000003-5CAD-B44C-B668-CB9EC56F1C57}"/>
            </c:ext>
          </c:extLst>
        </c:ser>
        <c:ser>
          <c:idx val="4"/>
          <c:order val="4"/>
          <c:tx>
            <c:strRef>
              <c:f>'place_type by place_category'!$Z$4</c:f>
              <c:strCache>
                <c:ptCount val="1"/>
                <c:pt idx="0">
                  <c:v>Resource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'place_type by place_category'!$U$5:$U$26</c:f>
              <c:strCache>
                <c:ptCount val="22"/>
                <c:pt idx="0">
                  <c:v>Aboriginal community</c:v>
                </c:pt>
                <c:pt idx="1">
                  <c:v>Autonomous</c:v>
                </c:pt>
                <c:pt idx="2">
                  <c:v>Bora ground</c:v>
                </c:pt>
                <c:pt idx="3">
                  <c:v>Burial ground</c:v>
                </c:pt>
                <c:pt idx="4">
                  <c:v>CMT (ceremonial)</c:v>
                </c:pt>
                <c:pt idx="5">
                  <c:v>CMT (resource)</c:v>
                </c:pt>
                <c:pt idx="6">
                  <c:v>Dreaming story</c:v>
                </c:pt>
                <c:pt idx="7">
                  <c:v>Fish traps</c:v>
                </c:pt>
                <c:pt idx="8">
                  <c:v>Food procurement</c:v>
                </c:pt>
                <c:pt idx="9">
                  <c:v>Grinding grooves</c:v>
                </c:pt>
                <c:pt idx="10">
                  <c:v>Grindstone</c:v>
                </c:pt>
                <c:pt idx="11">
                  <c:v>Hearth</c:v>
                </c:pt>
                <c:pt idx="12">
                  <c:v>Kopi</c:v>
                </c:pt>
                <c:pt idx="13">
                  <c:v>Massacre</c:v>
                </c:pt>
                <c:pt idx="14">
                  <c:v>Midden</c:v>
                </c:pt>
                <c:pt idx="15">
                  <c:v>Mission/Reserve</c:v>
                </c:pt>
                <c:pt idx="16">
                  <c:v>Pastoral</c:v>
                </c:pt>
                <c:pt idx="17">
                  <c:v>Place</c:v>
                </c:pt>
                <c:pt idx="18">
                  <c:v>Seed harvesting</c:v>
                </c:pt>
                <c:pt idx="19">
                  <c:v>Stone arrangement</c:v>
                </c:pt>
                <c:pt idx="20">
                  <c:v>Stone artefact scatter</c:v>
                </c:pt>
                <c:pt idx="21">
                  <c:v>Stone quarry</c:v>
                </c:pt>
              </c:strCache>
            </c:strRef>
          </c:cat>
          <c:val>
            <c:numRef>
              <c:f>'place_type by place_category'!$Z$5:$Z$26</c:f>
              <c:numCache>
                <c:formatCode>General</c:formatCode>
                <c:ptCount val="22"/>
                <c:pt idx="5">
                  <c:v>2</c:v>
                </c:pt>
                <c:pt idx="7">
                  <c:v>12</c:v>
                </c:pt>
                <c:pt idx="8">
                  <c:v>5</c:v>
                </c:pt>
                <c:pt idx="9">
                  <c:v>5</c:v>
                </c:pt>
                <c:pt idx="10">
                  <c:v>2</c:v>
                </c:pt>
                <c:pt idx="11">
                  <c:v>1</c:v>
                </c:pt>
                <c:pt idx="12">
                  <c:v>2</c:v>
                </c:pt>
                <c:pt idx="14">
                  <c:v>7</c:v>
                </c:pt>
                <c:pt idx="18">
                  <c:v>1</c:v>
                </c:pt>
                <c:pt idx="20">
                  <c:v>9</c:v>
                </c:pt>
                <c:pt idx="21">
                  <c:v>2</c:v>
                </c:pt>
              </c:numCache>
            </c:numRef>
          </c:val>
          <c:extLst>
            <c:ext xmlns:c16="http://schemas.microsoft.com/office/drawing/2014/chart" uri="{C3380CC4-5D6E-409C-BE32-E72D297353CC}">
              <c16:uniqueId val="{00000004-5CAD-B44C-B668-CB9EC56F1C57}"/>
            </c:ext>
          </c:extLst>
        </c:ser>
        <c:dLbls>
          <c:showLegendKey val="0"/>
          <c:showVal val="0"/>
          <c:showCatName val="0"/>
          <c:showSerName val="0"/>
          <c:showPercent val="0"/>
          <c:showBubbleSize val="0"/>
        </c:dLbls>
        <c:gapWidth val="150"/>
        <c:overlap val="100"/>
        <c:axId val="211838671"/>
        <c:axId val="390575183"/>
      </c:barChart>
      <c:catAx>
        <c:axId val="21183867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390575183"/>
        <c:crosses val="autoZero"/>
        <c:auto val="1"/>
        <c:lblAlgn val="ctr"/>
        <c:lblOffset val="100"/>
        <c:noMultiLvlLbl val="0"/>
      </c:catAx>
      <c:valAx>
        <c:axId val="390575183"/>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211838671"/>
        <c:crosses val="autoZero"/>
        <c:crossBetween val="between"/>
      </c:valAx>
      <c:spPr>
        <a:noFill/>
        <a:ln>
          <a:noFill/>
        </a:ln>
        <a:effectLst/>
      </c:spPr>
    </c:plotArea>
    <c:legend>
      <c:legendPos val="b"/>
      <c:layout>
        <c:manualLayout>
          <c:xMode val="edge"/>
          <c:yMode val="edge"/>
          <c:x val="0.21605994630327369"/>
          <c:y val="0.91951321302228528"/>
          <c:w val="0.53063071091758229"/>
          <c:h val="6.8064426729267533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[Kate Dale_Honours Dataset_FINAL 29.5.26.xlsx]place_name by coorindates_prec!PivotTable23</c:name>
    <c:fmtId val="0"/>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Distribution of 'coordinates_precision'</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spPr>
          <a:solidFill>
            <a:schemeClr val="accent1"/>
          </a:solidFill>
          <a:ln w="19050">
            <a:solidFill>
              <a:schemeClr val="lt1"/>
            </a:solidFill>
          </a:ln>
          <a:effectLst/>
        </c:spPr>
      </c:pivotFmt>
      <c:pivotFmt>
        <c:idx val="3"/>
      </c:pivotFmt>
      <c:pivotFmt>
        <c:idx val="4"/>
        <c:spPr>
          <a:solidFill>
            <a:schemeClr val="accent1"/>
          </a:solidFill>
          <a:ln w="19050">
            <a:solidFill>
              <a:schemeClr val="lt1"/>
            </a:solidFill>
          </a:ln>
          <a:effectLst/>
        </c:spPr>
      </c:pivotFmt>
      <c:pivotFmt>
        <c:idx val="5"/>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'place_name by coorindates_prec'!$C$4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23-AF44-BD7C-8B6816B757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23-AF44-BD7C-8B6816B757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23-AF44-BD7C-8B6816B7578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523-AF44-BD7C-8B6816B7578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523-AF44-BD7C-8B6816B757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'place_name by coorindates_prec'!$B$5:$B$9</c:f>
              <c:strCache>
                <c:ptCount val="4"/>
                <c:pt idx="0">
                  <c:v>Low precision</c:v>
                </c:pt>
                <c:pt idx="1">
                  <c:v>Not located</c:v>
                </c:pt>
                <c:pt idx="2">
                  <c:v>High precision</c:v>
                </c:pt>
                <c:pt idx="3">
                  <c:v>Approximate precision</c:v>
                </c:pt>
              </c:strCache>
            </c:strRef>
          </c:cat>
          <c:val>
            <c:numRef>
              <c:f>'place_name by coorindates_prec'!$C$5:$C$9</c:f>
              <c:numCache>
                <c:formatCode>0.00%</c:formatCode>
                <c:ptCount val="4"/>
                <c:pt idx="0">
                  <c:v>0.12745098039215685</c:v>
                </c:pt>
                <c:pt idx="1">
                  <c:v>0.11764705882352941</c:v>
                </c:pt>
                <c:pt idx="2">
                  <c:v>7.8431372549019607E-2</c:v>
                </c:pt>
                <c:pt idx="3">
                  <c:v>0.67647058823529416</c:v>
                </c:pt>
              </c:numCache>
            </c:numRef>
          </c:val>
          <c:extLst>
            <c:ext xmlns:c16="http://schemas.microsoft.com/office/drawing/2014/chart" uri="{C3380CC4-5D6E-409C-BE32-E72D297353CC}">
              <c16:uniqueId val="{00000000-A1D8-7C4F-847D-9776E630F0D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1021082793644874"/>
          <c:y val="0.4105949961899924"/>
          <c:w val="0.19647975585892"/>
          <c:h val="0.22248264329861994"/>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11</xdr:col>
      <xdr:colOff>675408</xdr:colOff>
      <xdr:row>7</xdr:row>
      <xdr:rowOff>79665</xdr:rowOff>
    </xdr:from>
    <xdr:to>
      <xdr:col>20</xdr:col>
      <xdr:colOff>960581</xdr:colOff>
      <xdr:row>32</xdr:row>
      <xdr:rowOff>198583</xdr:rowOff>
    </xdr:to>
    <xdr:graphicFrame macro="">
      <xdr:nvGraphicFramePr>
        <xdr:cNvPr id="2" name="Chart 1">
          <a:extLst>
            <a:ext uri="{FF2B5EF4-FFF2-40B4-BE49-F238E27FC236}">
              <a16:creationId xmlns:a16="http://schemas.microsoft.com/office/drawing/2014/main" id="{07585E4A-F2D1-90BB-155F-50B7D96BC9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581269</xdr:colOff>
      <xdr:row>49</xdr:row>
      <xdr:rowOff>5860</xdr:rowOff>
    </xdr:from>
    <xdr:to>
      <xdr:col>15</xdr:col>
      <xdr:colOff>103911</xdr:colOff>
      <xdr:row>63</xdr:row>
      <xdr:rowOff>23091</xdr:rowOff>
    </xdr:to>
    <xdr:graphicFrame macro="">
      <xdr:nvGraphicFramePr>
        <xdr:cNvPr id="7" name="Chart 6">
          <a:extLst>
            <a:ext uri="{FF2B5EF4-FFF2-40B4-BE49-F238E27FC236}">
              <a16:creationId xmlns:a16="http://schemas.microsoft.com/office/drawing/2014/main" id="{045EEA8A-8288-3BC9-B6FA-337503D8EF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1050637</xdr:colOff>
      <xdr:row>13</xdr:row>
      <xdr:rowOff>204353</xdr:rowOff>
    </xdr:from>
    <xdr:to>
      <xdr:col>33</xdr:col>
      <xdr:colOff>277090</xdr:colOff>
      <xdr:row>39</xdr:row>
      <xdr:rowOff>69273</xdr:rowOff>
    </xdr:to>
    <xdr:graphicFrame macro="">
      <xdr:nvGraphicFramePr>
        <xdr:cNvPr id="4" name="Chart 3">
          <a:extLst>
            <a:ext uri="{FF2B5EF4-FFF2-40B4-BE49-F238E27FC236}">
              <a16:creationId xmlns:a16="http://schemas.microsoft.com/office/drawing/2014/main" id="{7536B4AE-CEE2-6104-D276-FB2D4C087B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877455</xdr:colOff>
      <xdr:row>0</xdr:row>
      <xdr:rowOff>161637</xdr:rowOff>
    </xdr:from>
    <xdr:to>
      <xdr:col>11</xdr:col>
      <xdr:colOff>194497</xdr:colOff>
      <xdr:row>14</xdr:row>
      <xdr:rowOff>197518</xdr:rowOff>
    </xdr:to>
    <xdr:graphicFrame macro="">
      <xdr:nvGraphicFramePr>
        <xdr:cNvPr id="3" name="Chart 2">
          <a:extLst>
            <a:ext uri="{FF2B5EF4-FFF2-40B4-BE49-F238E27FC236}">
              <a16:creationId xmlns:a16="http://schemas.microsoft.com/office/drawing/2014/main" id="{B170CB6A-1943-7D44-9FBC-A55F37BFD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556684</xdr:colOff>
      <xdr:row>3</xdr:row>
      <xdr:rowOff>4232</xdr:rowOff>
    </xdr:from>
    <xdr:to>
      <xdr:col>21</xdr:col>
      <xdr:colOff>4233</xdr:colOff>
      <xdr:row>23</xdr:row>
      <xdr:rowOff>84666</xdr:rowOff>
    </xdr:to>
    <xdr:graphicFrame macro="">
      <xdr:nvGraphicFramePr>
        <xdr:cNvPr id="3" name="Chart 2">
          <a:extLst>
            <a:ext uri="{FF2B5EF4-FFF2-40B4-BE49-F238E27FC236}">
              <a16:creationId xmlns:a16="http://schemas.microsoft.com/office/drawing/2014/main" id="{AA79C5E8-CCC4-5453-FEA8-03F82865C6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330200</xdr:colOff>
      <xdr:row>1</xdr:row>
      <xdr:rowOff>0</xdr:rowOff>
    </xdr:from>
    <xdr:to>
      <xdr:col>7</xdr:col>
      <xdr:colOff>1168400</xdr:colOff>
      <xdr:row>19</xdr:row>
      <xdr:rowOff>12700</xdr:rowOff>
    </xdr:to>
    <xdr:graphicFrame macro="">
      <xdr:nvGraphicFramePr>
        <xdr:cNvPr id="2" name="Chart 1">
          <a:extLst>
            <a:ext uri="{FF2B5EF4-FFF2-40B4-BE49-F238E27FC236}">
              <a16:creationId xmlns:a16="http://schemas.microsoft.com/office/drawing/2014/main" id="{3728CB76-EED2-664A-9F42-491CE57C80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12700</xdr:colOff>
      <xdr:row>2</xdr:row>
      <xdr:rowOff>0</xdr:rowOff>
    </xdr:from>
    <xdr:to>
      <xdr:col>12</xdr:col>
      <xdr:colOff>965200</xdr:colOff>
      <xdr:row>34</xdr:row>
      <xdr:rowOff>114300</xdr:rowOff>
    </xdr:to>
    <xdr:graphicFrame macro="">
      <xdr:nvGraphicFramePr>
        <xdr:cNvPr id="8" name="Chart 7">
          <a:extLst>
            <a:ext uri="{FF2B5EF4-FFF2-40B4-BE49-F238E27FC236}">
              <a16:creationId xmlns:a16="http://schemas.microsoft.com/office/drawing/2014/main" id="{4CB9652C-B680-F016-0EB5-4A6CB1F0CA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19050</xdr:colOff>
      <xdr:row>10</xdr:row>
      <xdr:rowOff>19050</xdr:rowOff>
    </xdr:from>
    <xdr:to>
      <xdr:col>22</xdr:col>
      <xdr:colOff>114300</xdr:colOff>
      <xdr:row>24</xdr:row>
      <xdr:rowOff>101600</xdr:rowOff>
    </xdr:to>
    <xdr:graphicFrame macro="">
      <xdr:nvGraphicFramePr>
        <xdr:cNvPr id="2" name="Chart 1">
          <a:extLst>
            <a:ext uri="{FF2B5EF4-FFF2-40B4-BE49-F238E27FC236}">
              <a16:creationId xmlns:a16="http://schemas.microsoft.com/office/drawing/2014/main" id="{F7DAD9E9-014A-7912-27B2-FCE6558BB4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241300</xdr:colOff>
      <xdr:row>1</xdr:row>
      <xdr:rowOff>0</xdr:rowOff>
    </xdr:from>
    <xdr:to>
      <xdr:col>18</xdr:col>
      <xdr:colOff>1016000</xdr:colOff>
      <xdr:row>43</xdr:row>
      <xdr:rowOff>88900</xdr:rowOff>
    </xdr:to>
    <xdr:graphicFrame macro="">
      <xdr:nvGraphicFramePr>
        <xdr:cNvPr id="5" name="Chart 4">
          <a:extLst>
            <a:ext uri="{FF2B5EF4-FFF2-40B4-BE49-F238E27FC236}">
              <a16:creationId xmlns:a16="http://schemas.microsoft.com/office/drawing/2014/main" id="{89AAA765-E389-0F88-8C92-CFAEF5A2C7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12700</xdr:colOff>
      <xdr:row>10</xdr:row>
      <xdr:rowOff>12700</xdr:rowOff>
    </xdr:from>
    <xdr:to>
      <xdr:col>4</xdr:col>
      <xdr:colOff>2070100</xdr:colOff>
      <xdr:row>33</xdr:row>
      <xdr:rowOff>63500</xdr:rowOff>
    </xdr:to>
    <xdr:graphicFrame macro="">
      <xdr:nvGraphicFramePr>
        <xdr:cNvPr id="6" name="Chart 5">
          <a:extLst>
            <a:ext uri="{FF2B5EF4-FFF2-40B4-BE49-F238E27FC236}">
              <a16:creationId xmlns:a16="http://schemas.microsoft.com/office/drawing/2014/main" id="{090905E5-7F04-33F8-8C0D-0C4C83B203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te Dale" refreshedDate="46144.600378356481" createdVersion="8" refreshedVersion="8" minRefreshableVersion="3" recordCount="306" xr:uid="{65DFFDBB-AB63-874A-BA85-7772ED4EACED}">
  <cacheSource type="worksheet">
    <worksheetSource name="Table7"/>
  </cacheSource>
  <cacheFields count="28">
    <cacheField name="identifier" numFmtId="49">
      <sharedItems/>
    </cacheField>
    <cacheField name="source_document" numFmtId="0">
      <sharedItems/>
    </cacheField>
    <cacheField name="author_surname" numFmtId="0">
      <sharedItems/>
    </cacheField>
    <cacheField name="author_firstname" numFmtId="0">
      <sharedItems containsBlank="1"/>
    </cacheField>
    <cacheField name="published_in" numFmtId="0">
      <sharedItems containsBlank="1"/>
    </cacheField>
    <cacheField name="year_published" numFmtId="0">
      <sharedItems containsSemiMixedTypes="0" containsString="0" containsNumber="1" containsInteger="1" minValue="1842" maxValue="2020"/>
    </cacheField>
    <cacheField name="page_number" numFmtId="0">
      <sharedItems containsBlank="1" containsMixedTypes="1" containsNumber="1" containsInteger="1" minValue="1" maxValue="1565"/>
    </cacheField>
    <cacheField name="file_location" numFmtId="0">
      <sharedItems containsBlank="1"/>
    </cacheField>
    <cacheField name="source_document_quote" numFmtId="0">
      <sharedItems longText="1"/>
    </cacheField>
    <cacheField name="notes" numFmtId="0">
      <sharedItems containsBlank="1" longText="1"/>
    </cacheField>
    <cacheField name="year" numFmtId="0">
      <sharedItems containsMixedTypes="1" containsNumber="1" containsInteger="1" minValue="1842" maxValue="1900"/>
    </cacheField>
    <cacheField name="period" numFmtId="0">
      <sharedItems containsMixedTypes="1" containsNumber="1" containsInteger="1" minValue="1900" maxValue="1900" count="10">
        <s v="1890-1899"/>
        <n v="1900"/>
        <s v="1880-1889"/>
        <s v="Unknown 1840-1900"/>
        <s v="1870-1879"/>
        <s v="Dreamtime"/>
        <s v="Unknown pre-1840"/>
        <s v="1840-1849"/>
        <s v="1850-1859"/>
        <s v="1860-1869"/>
      </sharedItems>
    </cacheField>
    <cacheField name="place_name" numFmtId="0">
      <sharedItems count="104">
        <s v="Angledool"/>
        <s v="Angledool Lake"/>
        <s v="Angledool Station"/>
        <s v="Baiame's Ngunnhu"/>
        <s v="Kinggle plain"/>
        <s v="Bogeira"/>
        <s v="Brewarrina"/>
        <s v="Bangate Station"/>
        <s v="Barwon River"/>
        <s v="Narran River"/>
        <s v="Cawan"/>
        <s v="Carawy"/>
        <s v="Quantambone Station"/>
        <s v="Birrie River"/>
        <s v="Bokhara River"/>
        <s v="Boorooma station"/>
        <s v="Brenda Station"/>
        <s v="Callewatta"/>
        <s v="Coocoran Lake"/>
        <s v="Corrigul Spings"/>
        <s v="Brewarrina Mission"/>
        <s v="Butcher's Tree"/>
        <s v="Culgoa River"/>
        <s v="Goodeingora"/>
        <s v="Junction Barwon-Macquarie Rivers"/>
        <s v="Clearwater Lake"/>
        <s v="Collywarry"/>
        <s v="Cumborah"/>
        <s v="Culgoa Downs"/>
        <s v="Dooyanweenia "/>
        <s v="Geerah"/>
        <s v="Keegurodyin"/>
        <s v="Gingie Reserve"/>
        <s v="Googoorewon"/>
        <s v="Gooroolay"/>
        <s v="Dumble Station"/>
        <s v="Euahlayi Country"/>
        <s v="Eurie Eurie"/>
        <s v="Guddee"/>
        <s v="Gurrungga"/>
        <s v="Gingie Station"/>
        <s v="Girrahween"/>
        <s v="Gnomery Station"/>
        <s v="Goodooga"/>
        <s v="Mildool"/>
        <s v="Minggah tree _x000a_Bangate Station"/>
        <s v="Morilla Ridges"/>
        <s v="Narran Lake"/>
        <s v="Hospital Creek"/>
        <s v="Junction Barwon-Culgoa Rivers"/>
        <s v="Junction Barwon-Namoi Rivers"/>
        <s v="Junction Castlereagh-Barwon Rivers"/>
        <s v="Toolowly"/>
        <s v="Ledknapper Tank"/>
        <s v="Little Bend"/>
        <s v="Llanillo Station"/>
        <s v="Milroy Station"/>
        <s v="Mirringunna"/>
        <s v="Moheni"/>
        <s v="Noorahwahgean"/>
        <s v="Mundiwa"/>
        <s v="Mungaroo"/>
        <s v="Toulby Station"/>
        <s v="Walgett"/>
        <s v="Weilmoringle waterhole"/>
        <s v="Widda Murtee"/>
        <s v="Narran Plains"/>
        <s v="Tooningora"/>
        <s v="Old Angeldool"/>
        <s v="Old Gerara"/>
        <s v="Red Hill"/>
        <s v="Remington Claypan"/>
        <s v="Springs country"/>
        <s v="Swinging Bridge on Bangate Station"/>
        <s v="Urie Point"/>
        <s v="Walcha Hut"/>
        <s v="Weilmoringle"/>
        <s v="Weilmoringle Station"/>
        <s v="Wilkie Plains Station"/>
        <s v="Wirrawirra"/>
        <s v="Yambacoona"/>
        <s v="Yamby Lagoon"/>
        <s v="Yarrawin Station"/>
        <s v="Junction Barwon-Culgoa River" u="1"/>
        <s v="Ngunnhu / Brewarrina fish traps" u="1"/>
        <s v="Toulby" u="1"/>
        <s v="Junction of Barwon and Namoi Rivers" u="1"/>
        <s v="Junction of the Barwon and Culgoa River" u="1"/>
        <s v="Junction of the Barwon and Macquarie Rivers" u="1"/>
        <s v="Junction of the Culgoa, Barwon and Bogan Rivers" u="1"/>
        <s v="Lower Castlereagh and Barown Rivers" u="1"/>
        <s v="Junction of Barwan and Namoi Rivers" u="1"/>
        <s v="Confluence of the Culgoa, Barwon and Bogan Rivers" u="1"/>
        <s v="Tatalla" u="1"/>
        <s v="Brewarrina fish traps" u="1"/>
        <s v="Ngunnhu" u="1"/>
        <s v="Gongolgon River" u="1"/>
        <s v="Grawin South outstation" u="1"/>
        <s v="Minggah tree on Bangate Station" u="1"/>
        <s v="Gooramon Swamp" u="1"/>
        <s v="Gongolgon Camp" u="1"/>
        <s v="Corella Station" u="1"/>
        <s v="Yerranbah Shed" u="1"/>
        <s v="Angeldool" u="1"/>
      </sharedItems>
    </cacheField>
    <cacheField name="latitude" numFmtId="0">
      <sharedItems containsBlank="1" containsMixedTypes="1" containsNumber="1" minValue="-30.269639999999999" maxValue="-28.9874636347425"/>
    </cacheField>
    <cacheField name="longitude" numFmtId="0">
      <sharedItems containsBlank="1" containsMixedTypes="1" containsNumber="1" minValue="146.85613215622399" maxValue="148.12201950395701"/>
    </cacheField>
    <cacheField name="coordinates_from" numFmtId="0">
      <sharedItems count="7">
        <s v="Google Maps"/>
        <s v="ExplorOZ"/>
        <s v="Not located"/>
        <s v="NSW GNB"/>
        <s v="NSW Geographical Names Board" u="1"/>
        <s v="Bonzle" u="1"/>
        <s v="ExploreOZ webplace" u="1"/>
      </sharedItems>
    </cacheField>
    <cacheField name="coordinates_precision" numFmtId="0">
      <sharedItems containsBlank="1" count="8">
        <s v="Approximate precision"/>
        <s v="Low precision"/>
        <s v="High precision"/>
        <s v="Not located"/>
        <s v="Moderately precise" u="1"/>
        <s v="Approximate" u="1"/>
        <s v="Very precise" u="1"/>
        <m u="1"/>
      </sharedItems>
    </cacheField>
    <cacheField name="historical_theme" numFmtId="0">
      <sharedItems count="11">
        <s v="DR"/>
        <s v="GS"/>
        <s v="OL"/>
        <s v="SE"/>
        <s v="VD"/>
        <s v="CG"/>
        <s v="FR"/>
        <s v="PR"/>
        <s v="AR"/>
        <s v="IK"/>
        <s v="ID"/>
      </sharedItems>
    </cacheField>
    <cacheField name="place_category" numFmtId="0">
      <sharedItems containsBlank="1" count="7">
        <s v="Community"/>
        <s v="Massacre"/>
        <s v="Ceremonial"/>
        <s v="Resource"/>
        <s v="Place"/>
        <s v="Autonomous" u="1"/>
        <m u="1"/>
      </sharedItems>
    </cacheField>
    <cacheField name="place_type_1" numFmtId="0">
      <sharedItems containsBlank="1" count="24">
        <s v="Aboriginal community"/>
        <s v="Autonomous"/>
        <s v="Pastoral"/>
        <s v="Massacre"/>
        <s v="Bora ground"/>
        <s v="Mission/Reserve"/>
        <s v="Burial ground"/>
        <s v="Dreaming story"/>
        <s v="Fish traps"/>
        <s v="Kopi"/>
        <s v="Place"/>
        <s v="Grinding grooves"/>
        <s v="Grindstone"/>
        <s v="CMT (resource)"/>
        <s v="Midden"/>
        <s v="Stone artefact scatter"/>
        <s v="Hearth"/>
        <s v="Food procurement"/>
        <s v="CMT (ceremonial)"/>
        <s v="Seed harvesting"/>
        <s v="Stone quarry"/>
        <s v="CMT" u="1"/>
        <s v="Stone arrangement" u="1"/>
        <m u="1"/>
      </sharedItems>
    </cacheField>
    <cacheField name="place_type_2" numFmtId="0">
      <sharedItems containsBlank="1" count="8">
        <m/>
        <s v="Stone arrangement"/>
        <s v="Grinding grooves"/>
        <s v="Stone artefact scatter"/>
        <s v="CMT (ceremonial)"/>
        <s v="Burial ground"/>
        <s v="CMT (resource)"/>
        <s v="CMT" u="1"/>
      </sharedItems>
    </cacheField>
    <cacheField name="place_type_3" numFmtId="0">
      <sharedItems containsBlank="1" count="4">
        <m/>
        <s v="Stone quarry"/>
        <s v="Midden"/>
        <s v="Burial ground"/>
      </sharedItems>
    </cacheField>
    <cacheField name="Count" numFmtId="0" formula=" 0" databaseField="0"/>
    <cacheField name="Field1" numFmtId="0" formula="place_category" databaseField="0"/>
    <cacheField name="Field2" numFmtId="0" formula="_xleta.SUM" databaseField="0"/>
    <cacheField name="Field3" numFmtId="0" formula="place_type_1+place_type_2+place_type_3" databaseField="0"/>
    <cacheField name="% distribution2" numFmtId="0" formula=" 0" databaseField="0"/>
    <cacheField name="Field4" numFmtId="0" formula=" 0"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6">
  <r>
    <s v="194"/>
    <s v="Aborigines Protection Board"/>
    <s v="Unknown"/>
    <s v="Unknown"/>
    <s v="The Daily Telegraph"/>
    <n v="1897"/>
    <n v="7"/>
    <s v="Zotero"/>
    <s v="Sat 13th November 1897_x000a_At the meeting of the Aborigines' Protection Board yesterday, authority was granted for the purchase, of clothing to a number of old and Infirm aboriginals at Angledool, Goodooga, Tatalla...also rations to destitute aboriginals at Wollar, Cobar, and Tatalla."/>
    <m/>
    <n v="1897"/>
    <x v="0"/>
    <x v="0"/>
    <s v="-29.09840561137501"/>
    <s v="147.92316906814244"/>
    <x v="0"/>
    <x v="0"/>
    <x v="0"/>
    <x v="0"/>
    <x v="0"/>
    <x v="0"/>
    <x v="0"/>
  </r>
  <r>
    <s v="195"/>
    <s v="Aborigines Board"/>
    <s v="Unknown"/>
    <s v="Unknown"/>
    <s v="The Evening News"/>
    <n v="1900"/>
    <n v="7"/>
    <s v="Zotero"/>
    <s v="Sat 17 February 1900_x000a_The police at Angledool having recently, on their own responsibility, increased the supply of rations to aborigines at that place, a report was received on_x000a_the subject, in which the police stated that they were not aware that the authority of the board was necessary for their action; that the aborigines in_x000a_question were hunted from place to place; that it was necessary to protect them from harsh treatment, and that, if they were not fed, they would have to steal. The board decided to request the superintendent of police at Bourke to given instructions that the aborigines at Angledool were not to be allowed to starve; that a further report on their condition, later on, should be submitted,and that all able-bodied men were to be induced to go to work when employment was available."/>
    <m/>
    <n v="1900"/>
    <x v="1"/>
    <x v="0"/>
    <s v="-29.09840561137501"/>
    <s v="147.92316906814244"/>
    <x v="0"/>
    <x v="0"/>
    <x v="0"/>
    <x v="0"/>
    <x v="0"/>
    <x v="0"/>
    <x v="0"/>
  </r>
  <r>
    <s v="196"/>
    <s v="Aborigines' Board"/>
    <s v="Unknown"/>
    <s v="Unknown"/>
    <s v="The Daily Telegraph"/>
    <n v="1899"/>
    <n v="3"/>
    <s v="Zotero"/>
    <s v="Fri 13th October 1899_x000a_The superintendent of police at Bourke submitted tenders for meat rations at Angledool, Culgoa, Pilliga, Colane, Goodooga, Walgett, and Tatalla aboriginal camps."/>
    <m/>
    <n v="1899"/>
    <x v="0"/>
    <x v="0"/>
    <s v="-29.09840561137501"/>
    <s v="147.92316906814244"/>
    <x v="0"/>
    <x v="0"/>
    <x v="0"/>
    <x v="0"/>
    <x v="0"/>
    <x v="0"/>
    <x v="0"/>
  </r>
  <r>
    <s v="197"/>
    <s v="Aborigines' Board"/>
    <s v="Unknown"/>
    <s v="Unknown"/>
    <s v="The Evening News"/>
    <n v="1900"/>
    <n v="3"/>
    <s v="Zotero"/>
    <s v="Sat 10th November 1900_x000a_The police at Goodooga, Angledool, and Tatalla recommended the issue of clothing to 50 aborigines, at a cost of £21. 1 ..Approved."/>
    <m/>
    <n v="1900"/>
    <x v="1"/>
    <x v="0"/>
    <s v="-29.09840561137501"/>
    <s v="147.92316906814244"/>
    <x v="0"/>
    <x v="0"/>
    <x v="0"/>
    <x v="0"/>
    <x v="0"/>
    <x v="0"/>
    <x v="0"/>
  </r>
  <r>
    <s v="198"/>
    <s v="Aborigines' Protection Board"/>
    <s v="Unknown"/>
    <s v="Unknown"/>
    <s v="The Evening News"/>
    <n v="1898"/>
    <n v="5"/>
    <s v="Zotero"/>
    <s v="Fri 24th June 1898_x000a_Approval was given for the addition of meat to the rations issued to a number of aboriginals at Pilliga, Goodooga, and Angledool, who, from old age_x000a_and infirmity, were unable to hunt._x000a_A report was received from the officer in charge of the police at Angledool regarding a letter addressed to the Under-Secretary by Mr. W. N. Willis, M.L.A., representing that the aboriginals at that place were suffering badly through the nonreceipt of the usual annual supply of blankets. The officer reported that 100 blankets were received by him on the 23rd of last month, and were distributed on the same day. "/>
    <m/>
    <n v="1898"/>
    <x v="0"/>
    <x v="0"/>
    <s v="-29.09840561137501"/>
    <s v="147.92316906814244"/>
    <x v="0"/>
    <x v="0"/>
    <x v="0"/>
    <x v="0"/>
    <x v="0"/>
    <x v="0"/>
    <x v="0"/>
  </r>
  <r>
    <s v="199"/>
    <s v="Aborigines' Protection Board"/>
    <s v="Unknown"/>
    <s v="Unknown"/>
    <s v="The Evening News"/>
    <n v="1896"/>
    <n v="8"/>
    <s v="Zotero"/>
    <s v="Fri 20th November 1896_x000a_Authority was granted for the purchase of clothing for a number of children attending school at Parkes and Cowra and for a number of old and infirm_x000a_aborigines at Goodooga, Tatalla, and AngledooL_x000a_"/>
    <m/>
    <n v="1896"/>
    <x v="0"/>
    <x v="0"/>
    <s v="-29.09840561137501"/>
    <s v="147.92316906814244"/>
    <x v="0"/>
    <x v="0"/>
    <x v="0"/>
    <x v="0"/>
    <x v="0"/>
    <x v="0"/>
    <x v="0"/>
  </r>
  <r>
    <s v="200"/>
    <s v="Aborigines' Protection Board"/>
    <s v="Unknown"/>
    <s v="Unknown"/>
    <s v="The Sydney Morning Herald"/>
    <n v="1898"/>
    <n v="3"/>
    <s v="Zotero"/>
    <s v="Fri 24th June 1898_x000a_it was agreed that meat should be included in the rations issued to aborigines at Pilliga, Goodooga, and Angledool."/>
    <m/>
    <n v="1898"/>
    <x v="0"/>
    <x v="0"/>
    <s v="-29.09840561137501"/>
    <s v="147.92316906814244"/>
    <x v="0"/>
    <x v="0"/>
    <x v="0"/>
    <x v="0"/>
    <x v="0"/>
    <x v="0"/>
    <x v="0"/>
  </r>
  <r>
    <s v="201"/>
    <s v="Aborigines' Protection Board"/>
    <s v="Unknown"/>
    <s v="Unknown"/>
    <s v="The Evening News"/>
    <n v="1896"/>
    <n v="5"/>
    <s v="Zotero"/>
    <s v="Fri 31st July 1896_x000a_The Principal Under-Secretary forwarded a letter addressed to the Chief Secretary by Mr. Willis, M.L.A., urging that rations be supplied to the aborigines at Walgrett, Collarendabri, Goodooga, and Angledool. The secretary reported that the destitute aborigines at the places named had been receiving rations from the board for years past, and that during the first six months of the present year the sum of £160 had been expended for that purpose. It was decided to acquaint the Chief Secretary of the fact. "/>
    <m/>
    <n v="1896"/>
    <x v="0"/>
    <x v="0"/>
    <s v="-29.09840561137501"/>
    <s v="147.92316906814244"/>
    <x v="0"/>
    <x v="0"/>
    <x v="0"/>
    <x v="0"/>
    <x v="0"/>
    <x v="0"/>
    <x v="0"/>
  </r>
  <r>
    <s v="202"/>
    <s v="Aborigines' Protection Board"/>
    <s v="Unknown"/>
    <s v="Unknown"/>
    <s v="The Sydney Morning Herald"/>
    <n v="1896"/>
    <n v="3"/>
    <s v="Zotero"/>
    <s v="Fri 24th April 1896_x000a_The supply of clothing to a number of old and infirm aboriginals at Goodooga, Angledool, Tatalla, and Megalong, and of rations to a numberat Piangabla station, near Collarendabri, and at Mungindi and Rooty Hill was approved."/>
    <m/>
    <n v="1896"/>
    <x v="0"/>
    <x v="0"/>
    <s v="-29.09840561137501"/>
    <s v="147.92316906814244"/>
    <x v="0"/>
    <x v="0"/>
    <x v="0"/>
    <x v="0"/>
    <x v="0"/>
    <x v="0"/>
    <x v="0"/>
  </r>
  <r>
    <s v="203"/>
    <s v="Shipping. Arrivals."/>
    <s v="Unknown"/>
    <s v="Unknown"/>
    <s v="The Evening News"/>
    <n v="1900"/>
    <n v="6"/>
    <s v="Zotero"/>
    <s v="Fri 19th October 1900_x000a_At yesterday's meeting of the Aborigines Board a report was received from the police at Angledool stating that a person at that place had been recently fined £5 for supplying liquor to aborigines."/>
    <m/>
    <n v="1900"/>
    <x v="1"/>
    <x v="0"/>
    <s v="-29.09840561137501"/>
    <s v="147.92316906814244"/>
    <x v="0"/>
    <x v="0"/>
    <x v="0"/>
    <x v="0"/>
    <x v="0"/>
    <x v="0"/>
    <x v="0"/>
  </r>
  <r>
    <s v="193"/>
    <s v="A King for Angledool"/>
    <s v="Unknown"/>
    <s v="Unknown"/>
    <s v="The Evening News"/>
    <n v="1899"/>
    <n v="7"/>
    <s v="Zotero"/>
    <s v="Mon 3rd April 1899_x000a_The aboriginals of Angledool want a king. They are languishing after royalty and desire its presence among them as soon as possible. They have no local Warwicks, and so they have made their appeal through an M.L.A. to the Aborigines Board, who are king-makers-in-general for NewSouth Wales. The name of one Tommy Combo has been unanimously put forward as that of a person eminently suited for the regal dignity. On his behalf, and as a sort of recommendation, it has been stated that he never leaves the town. The board, however, does not wish to act rashly in such an important subject, and before they appoint Tommy Combo king over the blacks of Angledool, they require to have a report from the police on the prospects and resources of royalty in that district. If the report is favorable, and the local radicals raise no great opposition, Tommy, may be invested with the brass half-moon, emblem of latter-day aboriginal kingship."/>
    <m/>
    <n v="1899"/>
    <x v="0"/>
    <x v="0"/>
    <s v="-29.09840561137501"/>
    <s v="147.92316906814244"/>
    <x v="0"/>
    <x v="0"/>
    <x v="1"/>
    <x v="0"/>
    <x v="0"/>
    <x v="0"/>
    <x v="0"/>
  </r>
  <r>
    <s v="192"/>
    <s v="King Combo, of Angledool"/>
    <s v="Unknown"/>
    <s v="Unknown"/>
    <s v="The Daily Telegraph"/>
    <n v="1899"/>
    <n v="5"/>
    <s v="Zotero"/>
    <s v="A small path along the river margin; marks on  trees, where hollow portions of bark had been taken  off; some ancient, some recent, huts of withered  boughs and dry grass; freshwater muscle shells,  beside the ashes of small fires; and, in some places,  a small heap of pulled grass (Panicum laevinode),  or of the coral plant; such were the slight but  constant indications of the existence of man on the  Narran."/>
    <m/>
    <n v="1899"/>
    <x v="0"/>
    <x v="0"/>
    <s v="-29.09840561137501"/>
    <s v="147.92316906814244"/>
    <x v="0"/>
    <x v="0"/>
    <x v="2"/>
    <x v="0"/>
    <x v="0"/>
    <x v="0"/>
    <x v="0"/>
  </r>
  <r>
    <s v="094"/>
    <s v="Message-Sticks Used by the Aborigines of Australia"/>
    <s v="Mathews"/>
    <s v="Robert Hamilton"/>
    <m/>
    <n v="1897"/>
    <s v="293-294"/>
    <s v="Zotero"/>
    <s v="This message-stick was sent from Goodooga, on the Bokhara river, by a black fellow named Kubbi Iguana to his friend Yarri, Murri Iguana, residing at Angledool, on the Narran river, inviting the latter to bring his tribe to Goodooga to a corroboree which was shortly to take place."/>
    <m/>
    <s v="1894-1897"/>
    <x v="0"/>
    <x v="0"/>
    <s v="-29.09840561137501"/>
    <s v="147.92316906814244"/>
    <x v="0"/>
    <x v="1"/>
    <x v="2"/>
    <x v="0"/>
    <x v="1"/>
    <x v="0"/>
    <x v="0"/>
  </r>
  <r>
    <s v="095"/>
    <s v="Message-Sticks Used by the Aborigines of Australia"/>
    <s v="Mathews"/>
    <s v="Robert Hamilton"/>
    <m/>
    <n v="1897"/>
    <s v="295-296"/>
    <s v="Zotero"/>
    <s v="This drawing represents both sides of a message-stick made at Coomburrah by a native named Taballah, Murri Iguana, one of the head-men of the Cudnappa River who was at Coomburrah visiting the blacks there. Kunbitalah conveyed the stick to Angledool, and delivered it, with the oral message, to Enutbeakah Iguana, one of the head-men of the Currawillinghi tribe. Coomburrah is about 80 miles from Angledool."/>
    <m/>
    <s v="1894-1897"/>
    <x v="0"/>
    <x v="0"/>
    <s v="-29.09840561137501"/>
    <s v="147.92316906814244"/>
    <x v="0"/>
    <x v="0"/>
    <x v="2"/>
    <x v="0"/>
    <x v="1"/>
    <x v="0"/>
    <x v="0"/>
  </r>
  <r>
    <s v="204"/>
    <s v="Attempt to spread the rabbit pest"/>
    <s v="Unknown"/>
    <s v="Unknown"/>
    <s v="The Daily Telegraph"/>
    <n v="1886"/>
    <n v="4"/>
    <s v="Zotero"/>
    <s v="Fri 3 Dec 1886_x000a_A telegram received from Mr. Sherwin, sheep director, Angledool, states that the_x000a_blacks can find no further trace of rabbits."/>
    <m/>
    <n v="1886"/>
    <x v="2"/>
    <x v="0"/>
    <s v="-29.09840561137501"/>
    <s v="147.92316906814244"/>
    <x v="0"/>
    <x v="0"/>
    <x v="3"/>
    <x v="0"/>
    <x v="0"/>
    <x v="0"/>
    <x v="0"/>
  </r>
  <r>
    <s v="291"/>
    <s v="Organising the Labour Leagues"/>
    <s v="Unknown"/>
    <s v="Unknown"/>
    <s v="The Worker"/>
    <n v="1898"/>
    <n v="2"/>
    <s v="Zotero"/>
    <s v="Sat 22 October 1898_x000a_As an instance, all the blacks, some 10 or 12,around New Angledool who dared to vote for the Labor candidate have got the sack from stations on which they were reared, and, what's worse, have been told what it is for; of course, many whites have been served ditto under other pretences."/>
    <m/>
    <n v="1898"/>
    <x v="0"/>
    <x v="0"/>
    <s v="-29.09840561137501"/>
    <s v="147.92316906814244"/>
    <x v="0"/>
    <x v="0"/>
    <x v="3"/>
    <x v="0"/>
    <x v="2"/>
    <x v="0"/>
    <x v="0"/>
  </r>
  <r>
    <s v="205"/>
    <s v="Murder."/>
    <s v="Unknown"/>
    <s v="Unknown"/>
    <s v="New South Wales Police Gazette and Weekly Record of Crime"/>
    <n v="1882"/>
    <n v="135"/>
    <s v="Zotero"/>
    <s v="Wed 12th April 1882_x000a_A warrant has been issued by the Goodooga Bench for the arrest of Charlie, an aboriginal, charged with the murder of Joe, an aboriginal, at Angledool, near Goodooga, about 10 p.m., the 17th ultimo. Charlie is about 50 years of age, 5 feet 6 or 7 inches high, gray hair. Believed to have gone to Queensland in company with an old gin named Mary."/>
    <m/>
    <n v="1882"/>
    <x v="2"/>
    <x v="0"/>
    <s v="-29.09840561137501"/>
    <s v="147.92316906814244"/>
    <x v="0"/>
    <x v="0"/>
    <x v="4"/>
    <x v="0"/>
    <x v="0"/>
    <x v="0"/>
    <x v="0"/>
  </r>
  <r>
    <s v="093"/>
    <s v="Memory and history at Angledool, New South Wales"/>
    <s v="Menin"/>
    <s v="Marisa"/>
    <m/>
    <n v="1996"/>
    <n v="33"/>
    <s v="AIATSIS"/>
    <s v="Mention has also been made of a massacre site near present day Angledool. This massacre has not been recorded, but knowledge of the event has been passed on through oral  tradition"/>
    <m/>
    <s v="Unknown / early colonial"/>
    <x v="3"/>
    <x v="0"/>
    <s v="-29.09840561137501"/>
    <s v="147.92316906814244"/>
    <x v="0"/>
    <x v="0"/>
    <x v="4"/>
    <x v="1"/>
    <x v="3"/>
    <x v="0"/>
    <x v="0"/>
  </r>
  <r>
    <s v="183"/>
    <s v="What Katie Did"/>
    <s v="Singleton"/>
    <s v="Jane"/>
    <m/>
    <n v="2020"/>
    <n v="59"/>
    <s v="Apple Books"/>
    <s v="Katie reputedly used to have a beast killed for them (the Noongahburrahs) and took it up to their corrobborees at Angledool Lake."/>
    <s v="GNR - Description: A lake about 24 km NNW of Lightning Ridge."/>
    <s v="1879-1901"/>
    <x v="3"/>
    <x v="1"/>
    <s v="-29.201124509506386"/>
    <s v="147.90051754964273"/>
    <x v="0"/>
    <x v="0"/>
    <x v="5"/>
    <x v="2"/>
    <x v="4"/>
    <x v="0"/>
    <x v="0"/>
  </r>
  <r>
    <s v="023"/>
    <s v="Angledool Station Balance Sheet for the year ending 31st December 1895"/>
    <s v="Unknown"/>
    <s v="Unknown"/>
    <m/>
    <n v="1895"/>
    <m/>
    <s v="Zotero"/>
    <s v="Wool Expense Account_x000a_Rouseabouts rations (possibly Indigenous workers paid in rations)_x000a__x000a_Noxious Animals Account_x000a_Rabbiter's Rations (possibly Indigenous workers paid in rations)_x000a__x000a__x000a__x000a_"/>
    <s v="Photo of record: Photo 022_6/40"/>
    <n v="1895"/>
    <x v="0"/>
    <x v="2"/>
    <s v=" -29.118851"/>
    <s v=" 147.897537"/>
    <x v="1"/>
    <x v="0"/>
    <x v="3"/>
    <x v="0"/>
    <x v="2"/>
    <x v="0"/>
    <x v="0"/>
  </r>
  <r>
    <s v="024"/>
    <s v="Angledool Station Balance Sheet for the year ending 31st December 1896"/>
    <s v="Unknown"/>
    <s v="Unknown"/>
    <m/>
    <n v="1896"/>
    <m/>
    <s v="Zotero"/>
    <s v="Wool Expense Account_x000a_Rouseabouts rations (possibly Indigenous workers paid in rations)_x000a__x000a__x000a_Noxious Animals Accounts_x000a_Rabbiter's rations (possibly Indigenous workers paid in rations)_x000a__x000a_Wages Account_x000a_Blackboy, Laundress &amp; Housemaid, scrubcutters, lamb marking &amp; casual labour_x000a__x000a__x000a__x000a_"/>
    <s v="Photo of record: Photo 023_6/40 and Photo 024_6/40"/>
    <n v="1896"/>
    <x v="0"/>
    <x v="2"/>
    <s v=" -29.118851"/>
    <s v=" 147.897537"/>
    <x v="1"/>
    <x v="0"/>
    <x v="3"/>
    <x v="0"/>
    <x v="2"/>
    <x v="0"/>
    <x v="0"/>
  </r>
  <r>
    <s v="025"/>
    <s v="Angledool Station Balance Sheet for the year ending 31st December 1897"/>
    <s v="Unknown"/>
    <s v="Unknown"/>
    <m/>
    <n v="1897"/>
    <m/>
    <s v="Zotero"/>
    <s v="Wool Expense Account_x000a_Rouseabout rations (possibly Indigenous workers paid in rations)_x000a__x000a_Noxious Animals Account_x000a_Rabbiter's rations (possibly Indigenous workers paid in rations)_x000a__x000a_Wages Account_x000a_Blackboy, Laundress &amp; Housemaid, casual labour_x000a__x000a_"/>
    <s v="Photo of record: Photo 025_6/40 and Photo 026_6/40"/>
    <n v="1897"/>
    <x v="0"/>
    <x v="2"/>
    <s v=" -29.118851"/>
    <s v=" 147.897537"/>
    <x v="1"/>
    <x v="0"/>
    <x v="3"/>
    <x v="0"/>
    <x v="2"/>
    <x v="0"/>
    <x v="0"/>
  </r>
  <r>
    <s v="026"/>
    <s v="Angledool Station Balance Sheet for the year ending 31st December 1898"/>
    <s v="Unknown"/>
    <s v="Unknown"/>
    <m/>
    <n v="1898"/>
    <m/>
    <s v="Zotero"/>
    <s v="Wages Account_x000a_Blackboy, Laundress &amp; Housemaid, burr cutting &amp; casual labour_x000a__x000a_"/>
    <s v="Photo of record: Photo 027_6/40"/>
    <n v="1898"/>
    <x v="0"/>
    <x v="2"/>
    <s v=" -29.118851"/>
    <s v=" 147.897537"/>
    <x v="1"/>
    <x v="0"/>
    <x v="3"/>
    <x v="0"/>
    <x v="2"/>
    <x v="0"/>
    <x v="0"/>
  </r>
  <r>
    <s v="027"/>
    <s v="Angledool Station Balance Sheet for the year ending 31st December 1899"/>
    <s v="Unknown"/>
    <s v="Unknown"/>
    <m/>
    <n v="1899"/>
    <m/>
    <s v="Zotero"/>
    <s v="Wages Account_x000a_Scrub cutting (including rations)"/>
    <m/>
    <n v="1899"/>
    <x v="0"/>
    <x v="2"/>
    <s v=" -29.118851"/>
    <s v=" 147.897537"/>
    <x v="1"/>
    <x v="0"/>
    <x v="3"/>
    <x v="0"/>
    <x v="2"/>
    <x v="0"/>
    <x v="0"/>
  </r>
  <r>
    <s v="007"/>
    <s v="Aboriginal Fisheries of the Darling-Barwon Rivers"/>
    <s v="Dargin"/>
    <s v="Peter"/>
    <m/>
    <n v="1976"/>
    <n v="60"/>
    <s v="Book"/>
    <s v="A population of approximately 300 Aborigines lived at the Fishery…With the appointment of Sergeant Steele in 1878, there were instructed to move to the opposite bank…"/>
    <m/>
    <n v="1878"/>
    <x v="4"/>
    <x v="3"/>
    <s v="-29.957936648216613"/>
    <s v="146.85623099248141"/>
    <x v="0"/>
    <x v="2"/>
    <x v="6"/>
    <x v="0"/>
    <x v="0"/>
    <x v="0"/>
    <x v="0"/>
  </r>
  <r>
    <s v="008"/>
    <s v="Aboriginal Fisheries of the Darling-Barwon Rivers"/>
    <s v="Dargin"/>
    <s v="Peter"/>
    <m/>
    <n v="1976"/>
    <n v="61"/>
    <s v="Book"/>
    <s v="…in 1885, a reserve was gazetted on the North Bank for the Barwon adjacent to the Fisheries."/>
    <m/>
    <n v="1885"/>
    <x v="2"/>
    <x v="3"/>
    <s v="-29.957936648216613"/>
    <s v="146.85623099248141"/>
    <x v="0"/>
    <x v="2"/>
    <x v="6"/>
    <x v="0"/>
    <x v="5"/>
    <x v="0"/>
    <x v="0"/>
  </r>
  <r>
    <s v="153"/>
    <s v="The Euahlayi Tribe: A study of Aboriginal life in Australia"/>
    <s v="Langloh Parker"/>
    <s v="Katie"/>
    <m/>
    <n v="1905"/>
    <n v="103"/>
    <s v="Zotero"/>
    <s v="They went to Kinggle and there began their work…No blacks will cross Kinggle plains lest some of these spirits arise through the openings of their graves."/>
    <m/>
    <s v="Dreamtime"/>
    <x v="5"/>
    <x v="4"/>
    <m/>
    <m/>
    <x v="2"/>
    <x v="3"/>
    <x v="2"/>
    <x v="2"/>
    <x v="6"/>
    <x v="0"/>
    <x v="0"/>
  </r>
  <r>
    <s v="145"/>
    <s v="The Euahlayi Tribe: A study of Aboriginal life in Australia"/>
    <s v="Langloh Parker"/>
    <s v="Katie"/>
    <m/>
    <n v="1905"/>
    <n v="102"/>
    <s v="Zotero"/>
    <s v="At Boogira, on the Narran Lake, is an imprint in stone of Byamee's hand and foot, which shows that in those days were giants."/>
    <s v="Google Maps - Boogara Creek  (NW of Goondiwindi)"/>
    <s v="Dreamtime"/>
    <x v="5"/>
    <x v="5"/>
    <s v="-29.0705833333"/>
    <s v="147.7478055556"/>
    <x v="3"/>
    <x v="0"/>
    <x v="2"/>
    <x v="2"/>
    <x v="7"/>
    <x v="0"/>
    <x v="0"/>
  </r>
  <r>
    <s v="005"/>
    <s v="Aboriginal Fisheries of the Darling-Barwon Rivers"/>
    <s v="Dargin"/>
    <s v="Peter"/>
    <m/>
    <n v="1976"/>
    <n v="4"/>
    <s v="Book"/>
    <s v="It is told that on one of his walkabouts Baiame stepped from Cobar to Gundabooka, which is sacred place of the river people; to Byrock, where the mark of his foot was left on a stone, and then to Brewarrina."/>
    <m/>
    <s v="Dreamtime"/>
    <x v="5"/>
    <x v="6"/>
    <s v="-29.961151311564585"/>
    <n v="146.85613215622399"/>
    <x v="0"/>
    <x v="0"/>
    <x v="2"/>
    <x v="2"/>
    <x v="7"/>
    <x v="0"/>
    <x v="0"/>
  </r>
  <r>
    <s v="231"/>
    <s v="Our Diary - No. IX"/>
    <s v="Unknown"/>
    <s v="Unknown"/>
    <s v="The Yass Courier"/>
    <n v="1881"/>
    <n v="2"/>
    <s v="Zotero"/>
    <s v="Thurs 22nd September 1881_x000a_We leave Navena shortly afterwards, entering the town of Brewarina, or &quot;The Fishery,&quot; as it is generally called, in consequence of a natural bar of rocks crossing the river, and stopping to a great extent the flow of water, whereby are impounded shoals of fish. On this bar the aboriginals have built, with large loose stones, a number of small enclosures or cells, varying in height from two feet upwards. The idea seems to be when the river is in &quot;fresh,&quot; the fish, with unpardonable curiosity, poke into these enclosures, and pay the penalty by remaining there, the natives having neglected to put up any doors, marked out."/>
    <m/>
    <n v="1881"/>
    <x v="2"/>
    <x v="3"/>
    <s v="-29.957936648216613"/>
    <s v="146.85623099248141"/>
    <x v="0"/>
    <x v="2"/>
    <x v="2"/>
    <x v="3"/>
    <x v="8"/>
    <x v="0"/>
    <x v="0"/>
  </r>
  <r>
    <s v="146"/>
    <s v="The Euahlayi Tribe: A study of Aboriginal life in Australia"/>
    <s v="Langloh Parker"/>
    <s v="Katie"/>
    <m/>
    <n v="1905"/>
    <n v="8"/>
    <s v="Zotero"/>
    <s v="There is a large stone fish trap at Brewarrina, on the Barwan River."/>
    <m/>
    <s v="Unknown / pre-colonial"/>
    <x v="6"/>
    <x v="3"/>
    <s v="-29.957936648216613"/>
    <s v="146.85623099248141"/>
    <x v="0"/>
    <x v="2"/>
    <x v="7"/>
    <x v="3"/>
    <x v="8"/>
    <x v="0"/>
    <x v="0"/>
  </r>
  <r>
    <s v="232"/>
    <s v="Brewarrina."/>
    <s v="Unknown"/>
    <s v="Unknown"/>
    <s v="The Maitland Mercury"/>
    <n v="1872"/>
    <n v="3"/>
    <s v="Zotero"/>
    <s v="Sat 21st September 1872_x000a_We have had two days' heavy rain since I wrote, since which the weather has been beautiful, causing the grass and herbage to grow more luxuriantly. The river has still an upward tendency, caused by the Wammerawa water, but it is not likely to rise much higher, the fisheries being yet visible and supplying the blacks with fish in any quantity."/>
    <m/>
    <n v="1872"/>
    <x v="4"/>
    <x v="3"/>
    <s v="-29.957936648216613"/>
    <s v="146.85623099248141"/>
    <x v="0"/>
    <x v="2"/>
    <x v="7"/>
    <x v="3"/>
    <x v="8"/>
    <x v="0"/>
    <x v="0"/>
  </r>
  <r>
    <s v="233"/>
    <s v="Brewarrina."/>
    <s v="Unknown"/>
    <s v="Unknown"/>
    <s v="The Maitland Mercury"/>
    <n v="1876"/>
    <n v="7"/>
    <s v="Zotero"/>
    <s v="Thurs 31 August 1876_x000a_...so our little &quot; Fishery &quot; was for some hours left in charge of the blacks"/>
    <m/>
    <n v="1876"/>
    <x v="4"/>
    <x v="3"/>
    <s v="-29.957936648216613"/>
    <s v="146.85623099248141"/>
    <x v="0"/>
    <x v="2"/>
    <x v="7"/>
    <x v="3"/>
    <x v="8"/>
    <x v="0"/>
    <x v="0"/>
  </r>
  <r>
    <s v="234"/>
    <s v="Brewarrina."/>
    <s v="Unknown"/>
    <s v="Unknown"/>
    <s v="The Australian Town and Country Journal"/>
    <n v="1892"/>
    <n v="15"/>
    <s v="Zotero"/>
    <s v="Sat 27th February 1892_x000a_ At this township there is a natural bar across the river formed by rocks, and when the river is very low, blacks build yards with the rocks for the purpose of catching  fish, and fish are trapped in great numbera, hence the aboriginal name  Brewarrina, which means &quot; the fishery.&quot;"/>
    <m/>
    <n v="1892"/>
    <x v="0"/>
    <x v="3"/>
    <s v="-29.957936648216613"/>
    <s v="146.85623099248141"/>
    <x v="0"/>
    <x v="2"/>
    <x v="7"/>
    <x v="3"/>
    <x v="8"/>
    <x v="0"/>
    <x v="0"/>
  </r>
  <r>
    <s v="235"/>
    <s v="Brewarrina."/>
    <s v="Unknown"/>
    <s v="Unknown"/>
    <s v="The Australian Town and Country Journal"/>
    <n v="1874"/>
    <n v="35"/>
    <s v="Zotero"/>
    <s v="Sat 4th April 1874_x000a_It must seem strange to any  person inspecting  the fisheries lo think how the blacks could have invented and successfully carried out such a scheme for catching fish, and for years they stand the test of every flood that comes, and you cannot see any change whatever  in the  yards built  by the natives, I understand some 40 years ago."/>
    <m/>
    <n v="1874"/>
    <x v="4"/>
    <x v="3"/>
    <s v="-29.957936648216613"/>
    <s v="146.85623099248141"/>
    <x v="0"/>
    <x v="2"/>
    <x v="7"/>
    <x v="3"/>
    <x v="8"/>
    <x v="0"/>
    <x v="0"/>
  </r>
  <r>
    <s v="038"/>
    <s v="Bangate Station Estimates, 27th July 1886"/>
    <s v="Unknown"/>
    <s v="Unknown"/>
    <m/>
    <n v="1886"/>
    <m/>
    <s v="Zotero"/>
    <s v="Peter Hippi - Wallace Saunders} Aboriginals &amp; Gins_x000a__x000a_"/>
    <s v="Photo of record: Photo 018_10/4/1/240_x000a_(Peter Hippi is a known Indigenous man and survivor of the Hospital Creek Massacre)"/>
    <n v="1886"/>
    <x v="2"/>
    <x v="7"/>
    <s v="-29.544588938230326"/>
    <s v="147.21954358946417"/>
    <x v="0"/>
    <x v="1"/>
    <x v="3"/>
    <x v="0"/>
    <x v="2"/>
    <x v="0"/>
    <x v="0"/>
  </r>
  <r>
    <s v="133"/>
    <s v="Shearing Account, Bangate Station 13th November 1886"/>
    <s v="Unknown"/>
    <s v="Unknown"/>
    <m/>
    <n v="1886"/>
    <m/>
    <s v="Zotero"/>
    <s v="Housemaid &quot;Mary Anne&quot;_x000a__x000a_"/>
    <s v="Refers to names in &quot; &quot; which were likely Indigenous workers. This worker was paid the same rate as other workers identified as potentially Indigenous people and all worked for 8 weeks and 1 day._x000a_Photo of record: Photo 015_100/4/1/240"/>
    <n v="1886"/>
    <x v="2"/>
    <x v="7"/>
    <s v="-29.544588938230326"/>
    <s v="147.21954358946417"/>
    <x v="0"/>
    <x v="1"/>
    <x v="3"/>
    <x v="0"/>
    <x v="2"/>
    <x v="0"/>
    <x v="0"/>
  </r>
  <r>
    <s v="134"/>
    <s v="Shearing Account, Bangate Station 13th November 1886_x000a__x000a_Particulars of Transfers 1886"/>
    <s v="Unknown"/>
    <s v="Unknown"/>
    <m/>
    <n v="1886"/>
    <m/>
    <s v="Zotero"/>
    <s v="Wages Acc Poundkeeper, Dumble Billy_x000a__x000a_Bangate &quot;Peter&quot; (possibily Peter Hippai?), &quot;Mullawa Jack&quot;, &quot;Billy Murri&quot;_x000a__x000a_"/>
    <s v="Photo of record: Photo 017_100/4/1/240"/>
    <n v="1886"/>
    <x v="2"/>
    <x v="7"/>
    <s v="-29.544588938230326"/>
    <s v="147.21954358946417"/>
    <x v="0"/>
    <x v="1"/>
    <x v="3"/>
    <x v="0"/>
    <x v="2"/>
    <x v="0"/>
    <x v="0"/>
  </r>
  <r>
    <s v="135"/>
    <s v="Shearing Account, Bangate Station 13th November 1886_x000a__x000a_Shearing Pay Sheets"/>
    <s v="Unknown"/>
    <s v="Unknown"/>
    <m/>
    <n v="1886"/>
    <m/>
    <s v="Zotero"/>
    <s v="&quot;Darie(?)&quot;, &quot;Jemmy&quot;, &quot;Dumble Billy&quot;, &quot;Long Billy&quot;, &quot;Poundkeeper&quot;_x000a__x000a_"/>
    <s v="Refers to names in &quot; &quot; which were likely Indigenous workers. All of these workers were paid the same rate and all worked for 8 weeks and 1 day._x000a__x000a_Interestingly, Mitchell (1848. p. 110)  refers to &quot;a lad named Jemmy, who spoke a little English, and had visited many of our cattle-stations&quot; from around the upper Narran/Balonne Rivers._x000a__x000a_Photo of record: Photo 014_100/4/1/240"/>
    <n v="1886"/>
    <x v="2"/>
    <x v="7"/>
    <s v="-29.544588938230326"/>
    <s v="147.21954358946417"/>
    <x v="0"/>
    <x v="1"/>
    <x v="3"/>
    <x v="0"/>
    <x v="2"/>
    <x v="0"/>
    <x v="0"/>
  </r>
  <r>
    <s v="028"/>
    <s v="Australian Legendary Tales"/>
    <s v="Langloh Parker"/>
    <s v="Katie"/>
    <m/>
    <n v="1895"/>
    <n v="37"/>
    <s v="Zotero"/>
    <s v="Dirangibirrah is between Brewarrina and Widda Murtee, and there the dayoorls piled themselves up into a mountain..._x000a_"/>
    <m/>
    <s v="Dreamtime"/>
    <x v="5"/>
    <x v="6"/>
    <s v="-29.961151311564585"/>
    <n v="146.85613215622399"/>
    <x v="0"/>
    <x v="0"/>
    <x v="2"/>
    <x v="2"/>
    <x v="7"/>
    <x v="0"/>
    <x v="0"/>
  </r>
  <r>
    <s v="206"/>
    <s v="Widow's caps"/>
    <s v="Unknown"/>
    <s v="Unknown"/>
    <s v="The Sydney Mail"/>
    <n v="1899"/>
    <n v="95"/>
    <s v="Zotero"/>
    <s v="Sat 8th July 1899_x000a_Mrs. Langloh Parker, in her 'Legendary Tales' (prefaced by Andrew Lang)_x000a_refers to the widows' caps, and hearing of Mr.Kilgour's find, that lady last week wrote to us from Bangate, near Walgett, as follows : — ' Re those kopi helmets that Mr. Kilgour got, our blacks' used to make them aud wear them for mourning, widowsin particular, but never take them off whole and keep them..._x000a_On the Narran the blacks call them bidigi telkul.'"/>
    <m/>
    <n v="1899"/>
    <x v="0"/>
    <x v="7"/>
    <s v="-29.544588938230326"/>
    <s v="147.21954358946417"/>
    <x v="0"/>
    <x v="1"/>
    <x v="2"/>
    <x v="2"/>
    <x v="9"/>
    <x v="0"/>
    <x v="0"/>
  </r>
  <r>
    <s v="207"/>
    <s v="Brevities"/>
    <s v="Unknown"/>
    <s v="Unknown"/>
    <s v="The Evening News"/>
    <n v="1897"/>
    <n v="4"/>
    <s v="Zotero"/>
    <s v="Fri 15th January 1897_x000a_The board was informed by . letter- from Bangate,  Narran River, near the Queensland border, that about twenty aboriginals intended visiting Sydney to give exhibitions of boomerang throwmg, &amp;c. The proposal was disapproved_x000a_and it was agreed to take steps to prevent the aborigines from making the trip"/>
    <m/>
    <n v="1896"/>
    <x v="0"/>
    <x v="7"/>
    <n v="-29.544588938230302"/>
    <n v="147.219543589464"/>
    <x v="0"/>
    <x v="1"/>
    <x v="1"/>
    <x v="0"/>
    <x v="2"/>
    <x v="0"/>
    <x v="0"/>
  </r>
  <r>
    <s v="208"/>
    <s v="Aborigines' Board"/>
    <s v="Unknown"/>
    <s v="Unknown"/>
    <s v="The Evening News"/>
    <n v="1897"/>
    <n v="3"/>
    <s v="Zotero"/>
    <s v="Fri 12th February 1897_x000a_The Angledool police informed the board that acting under its instructions they had arranged that the proposed visit to Sydney for exhibition purposes of a number of aboriginals from Bangate Station should not take place."/>
    <m/>
    <n v="1897"/>
    <x v="0"/>
    <x v="7"/>
    <n v="-29.544588938230302"/>
    <n v="147.219543589464"/>
    <x v="0"/>
    <x v="1"/>
    <x v="1"/>
    <x v="0"/>
    <x v="2"/>
    <x v="0"/>
    <x v="0"/>
  </r>
  <r>
    <s v="209"/>
    <s v="Aborigines' Protection Board"/>
    <s v="Unknown"/>
    <s v="Unknown"/>
    <s v="The Evening News"/>
    <n v="1896"/>
    <n v="5"/>
    <s v="Zotero"/>
    <s v="Fri 29th May 1896_x000a_In response to an application it was resolved toprovide clothing for a number of destitute aborigines at Bangate Station"/>
    <m/>
    <n v="1896"/>
    <x v="0"/>
    <x v="7"/>
    <n v="-29.544588938230302"/>
    <n v="147.219543589464"/>
    <x v="0"/>
    <x v="1"/>
    <x v="0"/>
    <x v="0"/>
    <x v="2"/>
    <x v="0"/>
    <x v="0"/>
  </r>
  <r>
    <s v="210"/>
    <s v="Murder"/>
    <s v="Unknown"/>
    <s v="Unknown"/>
    <s v="New South Wales Police Gazette and Weekly Record of Crime"/>
    <n v="1875"/>
    <n v="250"/>
    <s v="Zotero"/>
    <s v="Wed 1st September 1875 [Issue No. 35]_x000a_The deceased is believed to be identical with a man named John Caulfield, who_x000a_called at Bangate Station, on the Narran River, on the 30th July last, and proceeded down the river. Deceased is supposed to have been murdered by blacks. "/>
    <m/>
    <n v="1875"/>
    <x v="4"/>
    <x v="7"/>
    <n v="-29.544588938230302"/>
    <n v="147.219543589464"/>
    <x v="0"/>
    <x v="1"/>
    <x v="4"/>
    <x v="4"/>
    <x v="10"/>
    <x v="0"/>
    <x v="0"/>
  </r>
  <r>
    <s v="219"/>
    <s v="The Aborigines of Australia"/>
    <s v="Unknown"/>
    <s v="Unknown"/>
    <s v="The Queenslander"/>
    <n v="1895"/>
    <n v="1034"/>
    <s v="Zotero"/>
    <s v="Sat 30th November 1895_x000a_Corrobborees travel a long distance from tribe to tribe. I will describe one witnessed at two places, two or three hundred miles apart, and the inference_x000a_drawn from it. I had taken a mob of cattle to the Condamine or Barwon River_x000a_a long distance from Ucumble country and while there saw an immense corrobboree. There was an image made of earth and logs, and I asked some of the natives in English (not understanding the dialect) what it was intended to represent, and was told that it was the big fellow that lived in the water. "/>
    <m/>
    <s v="Uknown / early colonial"/>
    <x v="3"/>
    <x v="8"/>
    <s v="-29.956901080577335"/>
    <s v="148.10957831190623"/>
    <x v="0"/>
    <x v="0"/>
    <x v="2"/>
    <x v="2"/>
    <x v="4"/>
    <x v="0"/>
    <x v="0"/>
  </r>
  <r>
    <s v="217"/>
    <s v="The Mooney and Barwin Rivers"/>
    <s v="Doyle"/>
    <s v="B."/>
    <s v="The Australian"/>
    <n v="1843"/>
    <n v="2"/>
    <s v="Zotero"/>
    <s v="Wed 1 March 1843_x000a_It is their [Aboriginals] intention to kill or drive all the whites with_x000a_their cattle from the Mooney and Barwin."/>
    <m/>
    <n v="1843"/>
    <x v="7"/>
    <x v="8"/>
    <s v="-29.956901080577335"/>
    <s v="148.10957831190623"/>
    <x v="0"/>
    <x v="0"/>
    <x v="8"/>
    <x v="0"/>
    <x v="1"/>
    <x v="0"/>
    <x v="0"/>
  </r>
  <r>
    <s v="215"/>
    <s v="Namoi and Barwin"/>
    <s v="Unknown"/>
    <s v="Unknown"/>
    <s v="The Sydney Morning Herald"/>
    <n v="1843"/>
    <n v="3"/>
    <s v="Zotero"/>
    <s v="Tues 28 March 1843_x000a_We might now expect to do some good were it not for the outrages of the blacks, who are destroying life and properly wholesale, so that it has become very difficult to get stockmen and hut-keepers, except at a rate of wages which we cannot afford to pay. We are not well used by the government: we have no commissioner, no border police, and we cannot take the law into our own hands for fear of the gallows. We are thus compelled to see our men butchered and our property destroyed without redress. We are made to pay taxes, and have in return no protection from the government. Mr. Mayne never visits us."/>
    <m/>
    <n v="1843"/>
    <x v="7"/>
    <x v="8"/>
    <s v="-29.956901080577335"/>
    <s v="148.10957831190623"/>
    <x v="0"/>
    <x v="0"/>
    <x v="8"/>
    <x v="0"/>
    <x v="1"/>
    <x v="0"/>
    <x v="0"/>
  </r>
  <r>
    <s v="218"/>
    <s v="Depredations by Aborigines"/>
    <s v="Unknown"/>
    <s v="Unknown"/>
    <s v="The North Australian, Ipswich"/>
    <n v="1856"/>
    <n v="4"/>
    <s v="Zotero"/>
    <s v="Tues 2nd December 1856_x000a_The petition of the residents in the district of Maranoa, who are either the proprietors of stock, or in charge of same, on the Balonne, Moonie, Weir, and Barwan Rivers, Humbly sheweth,—That the greater part of the district of Maranoa, which is altogether a grazing district, is wholly without protection from the native blacks, who are incessantly slaughtering the cattle and sheep depastured therein. That, during the last twelve months, the destruction of cattle has been even far greater than in previous years, and such that, if it were to continue, must eventually oblige the settlers to abandon their runs altogether."/>
    <m/>
    <n v="1856"/>
    <x v="8"/>
    <x v="8"/>
    <s v="-29.956901080577335"/>
    <s v="148.10957831190623"/>
    <x v="0"/>
    <x v="0"/>
    <x v="8"/>
    <x v="0"/>
    <x v="1"/>
    <x v="0"/>
    <x v="0"/>
  </r>
  <r>
    <s v="053"/>
    <s v="Goodbye Riverbank"/>
    <s v="Žagar"/>
    <s v="Cilka"/>
    <m/>
    <n v="2000"/>
    <n v="11"/>
    <s v="Zotero"/>
    <s v="By 1848 all the land along the Barwon-Namoi rivers was taken by pastoralists but even after initial subjugation, Aborigines presented a constant threat to pastoral expansion."/>
    <m/>
    <n v="1848"/>
    <x v="7"/>
    <x v="8"/>
    <s v="-29.956901080577335"/>
    <s v="148.10957831190623"/>
    <x v="0"/>
    <x v="0"/>
    <x v="8"/>
    <x v="0"/>
    <x v="1"/>
    <x v="0"/>
    <x v="0"/>
  </r>
  <r>
    <s v="079"/>
    <s v="Journal of an expediation into the interior of tropical Australia, in search of a route from Sydney to the Gulf of Carpentaria"/>
    <s v="Mitchell"/>
    <s v="Thomas Livingstone"/>
    <m/>
    <n v="1848"/>
    <n v="104"/>
    <s v="Zotero"/>
    <s v="Youranigh brought me one of their chisels, a small  bit of iron fastened to a stick with gum, and tied  with a piece of striped shirting."/>
    <m/>
    <n v="1846"/>
    <x v="7"/>
    <x v="9"/>
    <s v="-29.240390243887113"/>
    <s v="147.79066662283174"/>
    <x v="0"/>
    <x v="0"/>
    <x v="5"/>
    <x v="0"/>
    <x v="1"/>
    <x v="0"/>
    <x v="0"/>
  </r>
  <r>
    <s v="071"/>
    <s v="Journal of an expediation into the interior of tropical Australia, in search of a route from Sydney to the Gulf of Carpentaria"/>
    <s v="Mitchell"/>
    <s v="Thomas Livingstone"/>
    <m/>
    <n v="1848"/>
    <n v="92"/>
    <s v="Zotero"/>
    <s v="All the drays came in early. I  gave to the two natives, the tomahawks, tobacco, and  pipes, as promised ; also a note to the stockman on  the Barwan, who had provided me with them, saying  that they had been very useful."/>
    <m/>
    <n v="1846"/>
    <x v="7"/>
    <x v="8"/>
    <s v="-29.956901080577335"/>
    <s v="148.10957831190623"/>
    <x v="0"/>
    <x v="0"/>
    <x v="5"/>
    <x v="0"/>
    <x v="1"/>
    <x v="0"/>
    <x v="0"/>
  </r>
  <r>
    <s v="139"/>
    <s v="The Bora of the Kamilaroi Tribes"/>
    <s v="Mathews"/>
    <s v="Robert Hamilton"/>
    <m/>
    <n v="1896"/>
    <n v="139"/>
    <s v="Zotero"/>
    <s v="I returned to Mungindi, where I learnt that they local tribe were gathered on the Barwan River…"/>
    <m/>
    <n v="1895"/>
    <x v="0"/>
    <x v="8"/>
    <s v="-29.956901080577335"/>
    <s v="148.10957831190623"/>
    <x v="0"/>
    <x v="0"/>
    <x v="2"/>
    <x v="0"/>
    <x v="1"/>
    <x v="0"/>
    <x v="0"/>
  </r>
  <r>
    <s v="140"/>
    <s v="The Bora of the Kamilaroi Tribes"/>
    <s v="Mathews"/>
    <s v="Robert Hamilton"/>
    <m/>
    <n v="1896"/>
    <n v="142"/>
    <s v="Zotero"/>
    <s v="...but the New South Wales boundary, the Barwan River, being so near, a number of natives of the latter colony were also present."/>
    <m/>
    <n v="1895"/>
    <x v="0"/>
    <x v="8"/>
    <s v="-29.956901080577335"/>
    <s v="148.10957831190623"/>
    <x v="0"/>
    <x v="0"/>
    <x v="2"/>
    <x v="0"/>
    <x v="1"/>
    <x v="0"/>
    <x v="0"/>
  </r>
  <r>
    <s v="141"/>
    <s v="The Burbung of the Wiradthuri Tribes"/>
    <s v="Mathews"/>
    <s v="Robert Hamilton"/>
    <m/>
    <n v="1896"/>
    <n v="298"/>
    <s v="Zotero"/>
    <s v="This camp consisted of five divisions representing the remnants of the tribes from the following rivers :-the Macquarie,the Castlereagh, the Bogan, the Barwan, and the tribe fromi Cobar."/>
    <m/>
    <n v="1893"/>
    <x v="0"/>
    <x v="8"/>
    <s v="-29.956901080577335"/>
    <s v="148.10957831190623"/>
    <x v="0"/>
    <x v="0"/>
    <x v="2"/>
    <x v="0"/>
    <x v="1"/>
    <x v="0"/>
    <x v="0"/>
  </r>
  <r>
    <s v="087"/>
    <s v="Journal of an expediation into the interior of tropical Australia, in search of a route from Sydney to the Gulf of Carpentaria"/>
    <s v="Mitchell"/>
    <s v="Thomas Livingstone"/>
    <m/>
    <n v="1848"/>
    <n v="112"/>
    <s v="Zotero"/>
    <s v="This I ascertained  was called the Cawan by the natives, and that it  meandered very much."/>
    <m/>
    <n v="1846"/>
    <x v="7"/>
    <x v="10"/>
    <m/>
    <m/>
    <x v="2"/>
    <x v="3"/>
    <x v="1"/>
    <x v="4"/>
    <x v="10"/>
    <x v="0"/>
    <x v="0"/>
  </r>
  <r>
    <s v="142"/>
    <s v="The Burbung of the Wiradthuri Tribes"/>
    <s v="Mathews"/>
    <s v="Robert Hamilton"/>
    <m/>
    <n v="1896"/>
    <n v="312"/>
    <s v="Zotero"/>
    <s v="Three dialects were spoken by the natives who attended this gathering, but were mutually understood by all. The people from the Castlereagh, the Mole and the Barwan spoke Wailwan, those from the Bogan and Cobar spoke Wonghibon,and those from the upper Macquarie, the Wiradthuri dialect."/>
    <m/>
    <n v="1893"/>
    <x v="0"/>
    <x v="8"/>
    <s v="-29.956901080577335"/>
    <s v="148.10957831190623"/>
    <x v="0"/>
    <x v="0"/>
    <x v="2"/>
    <x v="0"/>
    <x v="1"/>
    <x v="0"/>
    <x v="0"/>
  </r>
  <r>
    <s v="066"/>
    <s v="Journal of an expediation into the interior of tropical Australia, in search of a route from Sydney to the Gulf of Carpentaria"/>
    <s v="Mitchell"/>
    <s v="Thomas Livingstone"/>
    <m/>
    <n v="1848"/>
    <n v="82"/>
    <s v="Zotero"/>
    <s v="The ponds were called  &quot;Carawy” and were vitally  important to us, enabling us to pass on towards the  Narran, which was still, as we had been informed,  twenty-five miles off."/>
    <m/>
    <n v="1846"/>
    <x v="7"/>
    <x v="11"/>
    <m/>
    <m/>
    <x v="2"/>
    <x v="3"/>
    <x v="9"/>
    <x v="4"/>
    <x v="10"/>
    <x v="0"/>
    <x v="0"/>
  </r>
  <r>
    <s v="211"/>
    <s v="The Drought Fiend"/>
    <s v="Unknown"/>
    <s v="Unknown"/>
    <s v="The National Advocate"/>
    <n v="1889"/>
    <n v="3"/>
    <s v="Zotero"/>
    <s v="Wed 27th November 1889_x000a_When we first reached the Barwon country in 1843, the blacks gave us great accounts of the drought a few years previous, which must have been that of 1838-39. They told us the lower Gwyder and the Big River had been dry, also all the Narran, Culgoa, Bokhira and Bree; also the whole of the Bomm and the Baron (Darling, from Turnbull to Wirrabilla, seventy miles, at which latter place the darkies from all these places met, and did not fight, as the drought was a national calamity)."/>
    <m/>
    <n v="1843"/>
    <x v="7"/>
    <x v="8"/>
    <s v="-29.956901080577335"/>
    <s v="148.10957831190623"/>
    <x v="0"/>
    <x v="0"/>
    <x v="9"/>
    <x v="0"/>
    <x v="1"/>
    <x v="0"/>
    <x v="0"/>
  </r>
  <r>
    <s v="214"/>
    <s v="Barwan River"/>
    <s v="Unknown"/>
    <s v="Unknown"/>
    <s v="The Maitland Mercury"/>
    <n v="1863"/>
    <n v="3"/>
    <s v="Zotero"/>
    <s v="Thurs 26th November 1863_x000a_A little black boy that was minding some cattle was caught in it [hail storm], and had his head cut in several places. When he came home he was covered with blood, and from the severe  knocks he received he scarcely knew where he was. The poor little  fellow is fast recovering."/>
    <m/>
    <n v="1863"/>
    <x v="9"/>
    <x v="8"/>
    <s v="-29.956901080577335"/>
    <s v="148.10957831190623"/>
    <x v="0"/>
    <x v="0"/>
    <x v="3"/>
    <x v="0"/>
    <x v="2"/>
    <x v="0"/>
    <x v="0"/>
  </r>
  <r>
    <s v="212"/>
    <s v="The Blacks on the Barwin"/>
    <s v="Unknown"/>
    <s v="Unknown"/>
    <s v="The Maitland Mercury"/>
    <n v="1843"/>
    <n v="3"/>
    <s v="Zotero"/>
    <s v="Sat 16 September 1843_x000a_Since our last report we have received some additional particulars of the murder lately perpetrated by the blacks on the Barwin. The melancholy intelligence of Mr. Hallen's death has been confirmed. "/>
    <m/>
    <n v="1843"/>
    <x v="7"/>
    <x v="8"/>
    <s v="-29.956901080577335"/>
    <s v="148.10957831190623"/>
    <x v="0"/>
    <x v="0"/>
    <x v="4"/>
    <x v="0"/>
    <x v="1"/>
    <x v="0"/>
    <x v="0"/>
  </r>
  <r>
    <s v="220"/>
    <s v="The Barwan"/>
    <s v="Unknown"/>
    <s v="Unknown"/>
    <s v="The Empire"/>
    <n v="1854"/>
    <n v="5"/>
    <s v="Zotero"/>
    <s v="Wed 5 July 1854_x000a_On this and the  adjoining rivers, a practice has been adopted by many hutkeepers and stockmen, and by some in higher social position; one of the results of which is so detestably bad that it demands judicial  investigation, that is the practice of keeping black women as concubines. This unlawful intercourse has led to murderous strife with the blackmen in some instances, but its most hideous result is frequent infanticide."/>
    <m/>
    <n v="1854"/>
    <x v="8"/>
    <x v="8"/>
    <s v="-29.956901080577335"/>
    <s v="148.10957831190623"/>
    <x v="0"/>
    <x v="0"/>
    <x v="8"/>
    <x v="0"/>
    <x v="2"/>
    <x v="0"/>
    <x v="0"/>
  </r>
  <r>
    <s v="213"/>
    <s v="The Barwan"/>
    <s v="Unknown"/>
    <s v="Unknown"/>
    <s v="The Hunter River Gazette"/>
    <n v="1842"/>
    <n v="3"/>
    <s v="Zotero"/>
    <s v="Sat 2nd April 1842_x000a_A very melancholy occurrence took place in this part of the country a few days ago. A man assisted by a black boy were bringing up a herd of cattle from the Macquarie to this river, and on their way they were obliged to pass over a plain_x000a_forty miles in extent without  water. A few days afterwards their bodies were,_x000a_found under a tree, and the cattle, which belonged to Mr.  Lowe were  dispersed. A man, in the employment of Mr White, was missing for several days his body  was at last found in the bush, and from its appearance there can be  little doubt that the unfortunate, man must  have been  murdered by the blacks. Two men in the employment of Mr. Rouse, were travelling on the river, and having stopped to feed their horses, had fallen asleep. In this helpless condition two blacks came upon them."/>
    <m/>
    <n v="1842"/>
    <x v="7"/>
    <x v="8"/>
    <s v="-29.956901080577335"/>
    <s v="148.10957831190623"/>
    <x v="0"/>
    <x v="0"/>
    <x v="4"/>
    <x v="0"/>
    <x v="1"/>
    <x v="0"/>
    <x v="0"/>
  </r>
  <r>
    <s v="188"/>
    <s v="What Katie Did"/>
    <s v="Singleton"/>
    <s v="Jane"/>
    <m/>
    <n v="2020"/>
    <n v="63"/>
    <s v="Apple Books"/>
    <s v="A shepherd from Quantambone Station was believed to have taken an Aboriginal woman and then was attacked and killed by the native men."/>
    <s v="Referring to the Hospital Creek massacre"/>
    <n v="1859"/>
    <x v="8"/>
    <x v="12"/>
    <s v="-29.90739"/>
    <s v="146.85326"/>
    <x v="1"/>
    <x v="0"/>
    <x v="8"/>
    <x v="0"/>
    <x v="1"/>
    <x v="0"/>
    <x v="0"/>
  </r>
  <r>
    <s v="216"/>
    <s v="The Blacks on the Barwin"/>
    <s v="Unknown"/>
    <s v="Unknown"/>
    <s v="The Sydney Morning Herald"/>
    <n v="1843"/>
    <n v="3"/>
    <s v="Zotero"/>
    <s v="Tues 12th September 1843_x000a_INTELLIGENCE has been received in town during the week of a serious affray between the squatters and the blacks on the Barwin River, which has been attended with a most melancholy loss of life."/>
    <m/>
    <n v="1843"/>
    <x v="7"/>
    <x v="8"/>
    <s v="-29.956901080577335"/>
    <s v="148.10957831190623"/>
    <x v="0"/>
    <x v="0"/>
    <x v="4"/>
    <x v="0"/>
    <x v="1"/>
    <x v="0"/>
    <x v="0"/>
  </r>
  <r>
    <s v="096"/>
    <s v="Message-Sticks Used by the Aborigines of Australia"/>
    <s v="Mathews"/>
    <s v="Robert Hamilton"/>
    <m/>
    <n v="1897"/>
    <n v="293"/>
    <s v="Zotero"/>
    <s v="Imball further explained to Belay the devices on the stick as follows, which will be better understood  by referring to plate vI: Nanee (a) sent the message from the Bokhara river (b), by the hand of Imball (c), via the Birie (d), the Culgoa…"/>
    <s v="From AMSD (Australian Message Stick Database): A message stick sent by Nani in Goodooga to Pilay at Tinnenburra to coordinate a ceremony at Cudnapper creek"/>
    <s v="1894-1897"/>
    <x v="0"/>
    <x v="13"/>
    <s v="-29.559161484886296"/>
    <s v="146.9150892238405"/>
    <x v="0"/>
    <x v="0"/>
    <x v="2"/>
    <x v="0"/>
    <x v="1"/>
    <x v="0"/>
    <x v="0"/>
  </r>
  <r>
    <s v="108"/>
    <s v="Mud, Mussels and Toes"/>
    <s v="Martin"/>
    <s v="Sarah"/>
    <m/>
    <n v="1979"/>
    <n v="107"/>
    <s v="Zotero"/>
    <s v="After the massacres, the natives disappeared into the bush and  most of them moved towards the west. Those who survived warned the  others who lived near the Culgoa and Birrie Rivers, and they  disappeared also  (Barker 1972, pp.124-5). "/>
    <m/>
    <s v="Unknown / early colonial"/>
    <x v="3"/>
    <x v="13"/>
    <s v="-29.559161484886296"/>
    <s v="146.9150892238405"/>
    <x v="0"/>
    <x v="0"/>
    <x v="4"/>
    <x v="0"/>
    <x v="1"/>
    <x v="0"/>
    <x v="0"/>
  </r>
  <r>
    <s v="160"/>
    <s v="The Two Worlds of Jimmie Barker"/>
    <s v="Mathews"/>
    <s v="Janet"/>
    <m/>
    <n v="1988"/>
    <n v="126"/>
    <s v="Book"/>
    <s v="Another tree which had special significance to the Muruwari was approximately 40 miles from Brewarrina. Their legend of the two eagles or spirit birds was believed to have emanated from this tree."/>
    <m/>
    <s v="Dreamtime"/>
    <x v="5"/>
    <x v="6"/>
    <s v="-29.961151311564585"/>
    <n v="146.85613215622399"/>
    <x v="0"/>
    <x v="0"/>
    <x v="2"/>
    <x v="2"/>
    <x v="7"/>
    <x v="0"/>
    <x v="0"/>
  </r>
  <r>
    <s v="185"/>
    <s v="What Katie Did"/>
    <s v="Singleton"/>
    <s v="Jane"/>
    <m/>
    <n v="2020"/>
    <n v="21"/>
    <s v="Apple Books"/>
    <s v="Sim tells how he spent about six months on and off, living on Bangate staying in a stockmans hut on the outstation Bogeira with the boundray rider Greg Field who was born on Bangate in about 1897."/>
    <s v="GNR - Lists a Parish in the Brewarrina LGA called Bogeira"/>
    <n v="1897"/>
    <x v="0"/>
    <x v="5"/>
    <s v="-29.0705833333"/>
    <s v="147.7478055556"/>
    <x v="3"/>
    <x v="0"/>
    <x v="3"/>
    <x v="0"/>
    <x v="2"/>
    <x v="0"/>
    <x v="0"/>
  </r>
  <r>
    <s v="222"/>
    <s v="Colonial Fragments by E.K.V. Up the Culgoa, 1861"/>
    <s v="Unknown"/>
    <s v="Unknown"/>
    <s v="The Sketcher"/>
    <n v="1885"/>
    <n v="493"/>
    <s v="Zotero"/>
    <s v="Sat 28th March 1885_x000a_Lieutenant Morehead followed the Bokhara down ; the remaining troop taking the Narran ; and the blacks were taught a severe lesson, but the ringleader, &quot;The Bull,&quot; escaped."/>
    <s v="In this article there is a reference to rifle holes for the purpose of shooting Aboriginals"/>
    <n v="1885"/>
    <x v="2"/>
    <x v="14"/>
    <s v="-29.677881323893896"/>
    <s v="147.0192678304509"/>
    <x v="0"/>
    <x v="0"/>
    <x v="4"/>
    <x v="1"/>
    <x v="3"/>
    <x v="0"/>
    <x v="0"/>
  </r>
  <r>
    <s v="097"/>
    <s v="Message-Sticks Used by the Aborigines of Australia"/>
    <s v="Mathews"/>
    <s v="Robert Hamilton"/>
    <m/>
    <n v="1897"/>
    <n v="293"/>
    <s v="Zotero"/>
    <s v="Imball further explained to Belay the devices on the stick as follows, which will be better understood  by referring to plate vI: Nanee (a) sent the message from the Bokhara river (b), by the hand of Imball (c), via the Birie (d), the Culgoa…"/>
    <s v="From AMSD (Australian Message Stick Database): A message stick sent by Nani in Goodooga to Pilay at Tinnenburra to coordinate a ceremony at Cudnapper creek"/>
    <s v="1894-1897"/>
    <x v="0"/>
    <x v="14"/>
    <s v="-29.677881323893896"/>
    <s v="147.0192678304509"/>
    <x v="0"/>
    <x v="0"/>
    <x v="2"/>
    <x v="0"/>
    <x v="1"/>
    <x v="0"/>
    <x v="0"/>
  </r>
  <r>
    <s v="223"/>
    <s v="Turpentine for Snake-bite"/>
    <s v="Forrester"/>
    <s v="Robert H."/>
    <s v="The Windsor and Richmond Gazette"/>
    <n v="1892"/>
    <n v="3"/>
    <s v="Zotero"/>
    <s v="Sat 5th March 1892_x000a_Some years ago, when on the lower end of our Narran station, a horse, ridden by a blackfeltow, belonging to Dr. Mein's station (the adjoining station to ours), on the Narran, trod fair on an adder's nead, crushing it to a regular mash."/>
    <s v="George August Mein and his brother Pultney purchased Boorooma in 1878"/>
    <n v="1892"/>
    <x v="0"/>
    <x v="15"/>
    <s v="-30.10385"/>
    <n v="147.46516"/>
    <x v="1"/>
    <x v="0"/>
    <x v="3"/>
    <x v="0"/>
    <x v="2"/>
    <x v="0"/>
    <x v="0"/>
  </r>
  <r>
    <s v="224"/>
    <s v="Rabbits on the Maranoa"/>
    <s v="Unknown"/>
    <s v="Unknown"/>
    <s v="Western Star"/>
    <n v="1893"/>
    <n v="2"/>
    <s v="Zotero"/>
    <s v="Wed 5th April 1893_x000a_I have put a trapper on Toulby, also one on Brenda. I may mention that on_x000a_Molten Plains. which borders 20 miles of our southern boundary where the western fence strikes off, that rabbits are being killed at the rate of 600 per week, six blacks being employed in destruction with dogs and all other means except poison."/>
    <m/>
    <n v="1893"/>
    <x v="0"/>
    <x v="16"/>
    <n v="-29.029992680724199"/>
    <n v="147.31329677169501"/>
    <x v="0"/>
    <x v="0"/>
    <x v="3"/>
    <x v="0"/>
    <x v="2"/>
    <x v="0"/>
    <x v="0"/>
  </r>
  <r>
    <s v="161"/>
    <s v="The Two Worlds of Jimmie Barker"/>
    <s v="Mathews"/>
    <s v="Janet"/>
    <m/>
    <n v="1988"/>
    <n v="128"/>
    <s v="Book"/>
    <s v="There is a large, evil-looking bend in the river four miles above Brewarrina; the water is extremely deep and the bend is called Mirigana by the Aborigines. This name was given to it many years ago as it had some associations with the Jugi, or spirit dogs. However, people have also spoken about this unpleasant stretch of water as the home of the rainbow serpent, or water snake. These snakes are reputed to be enormous, close to the size of a large prehistoric animal. The Muruwari called them gabuda gan and the Ngemba called the wawi."/>
    <m/>
    <s v="Dreamtime"/>
    <x v="5"/>
    <x v="6"/>
    <s v="-29.961151311564585"/>
    <n v="146.85613215622399"/>
    <x v="0"/>
    <x v="0"/>
    <x v="2"/>
    <x v="2"/>
    <x v="7"/>
    <x v="0"/>
    <x v="0"/>
  </r>
  <r>
    <s v="010"/>
    <s v="Aboriginal Fisheries of the Darling-Barwon Rivers"/>
    <s v="Dargin"/>
    <s v="Peter"/>
    <m/>
    <n v="1976"/>
    <n v="4"/>
    <s v="Book"/>
    <s v="So the Callewatta was formed and can still be traced from Brewarrina to the sea."/>
    <s v="Callewatta is  Ngemba for Darling River"/>
    <s v="Dreamtime"/>
    <x v="5"/>
    <x v="17"/>
    <m/>
    <m/>
    <x v="2"/>
    <x v="3"/>
    <x v="2"/>
    <x v="2"/>
    <x v="7"/>
    <x v="0"/>
    <x v="0"/>
  </r>
  <r>
    <s v="148"/>
    <s v="The Euahlayi Tribe: A study of Aboriginal life in Australia"/>
    <s v="Langloh Parker"/>
    <s v="Katie"/>
    <m/>
    <n v="1905"/>
    <n v="139"/>
    <s v="Zotero"/>
    <s v="Amid the Cookeran Lake still wanders the woman who arrived late at the big Boorah…"/>
    <s v="Google Maps - Coocoran Lake (W of Lightning Ridge)_x000a_GNR - Description: A lake about 11 km W of Lightning Ridge and about 20 km SSW of Angledool Lake."/>
    <s v="Dreamtime"/>
    <x v="5"/>
    <x v="18"/>
    <s v="-29.412897914835074"/>
    <s v="147.84105878071537"/>
    <x v="0"/>
    <x v="0"/>
    <x v="2"/>
    <x v="2"/>
    <x v="7"/>
    <x v="0"/>
    <x v="0"/>
  </r>
  <r>
    <s v="030"/>
    <s v="Australian Legendary Tales"/>
    <s v="Langloh Parker"/>
    <s v="Katie"/>
    <m/>
    <n v="1895"/>
    <n v="11"/>
    <s v="Zotero"/>
    <s v="Corrigel Spring connects to underground water course leading to Narran River"/>
    <s v="Google Maps - Corrigul Springs near Angledool_x000a_GNR - Cowragil Spring"/>
    <s v="Dreamtime"/>
    <x v="5"/>
    <x v="19"/>
    <n v="-28.9874636347425"/>
    <n v="147.89541757324699"/>
    <x v="0"/>
    <x v="0"/>
    <x v="2"/>
    <x v="2"/>
    <x v="7"/>
    <x v="0"/>
    <x v="0"/>
  </r>
  <r>
    <s v="225"/>
    <s v="The drought and floods"/>
    <s v="Gideon"/>
    <s v="John P."/>
    <s v="The Sydney Morning Herald"/>
    <n v="1885"/>
    <n v="5"/>
    <s v="Zotero"/>
    <s v="Sat 26th December 1885_x000a_I have heard that the blacks near Brewarrina and other townships are supplied with rations."/>
    <m/>
    <n v="1885"/>
    <x v="2"/>
    <x v="6"/>
    <s v="-29.961151311564585"/>
    <n v="146.85613215622399"/>
    <x v="0"/>
    <x v="0"/>
    <x v="0"/>
    <x v="0"/>
    <x v="0"/>
    <x v="0"/>
    <x v="0"/>
  </r>
  <r>
    <s v="229"/>
    <s v="Another Legal Let-Off"/>
    <s v="Unknown"/>
    <s v="Unknown"/>
    <s v="The Armidale Express"/>
    <n v="1888"/>
    <n v="4"/>
    <s v="Zotero"/>
    <s v="Fri 25th May 1888_x000a_On Monday afternoon last, between 5 and 6 o'clock (says the Brewarrina Express), Brewarrina was thrown into a state of excitement in consequence of a_x000a_report that Percy, aged about three years, son of Mr. Robins, the local postmaster, had strayed from home and could not be found..._x000a_The services of the blacks camped on the river were enlisted..."/>
    <m/>
    <n v="1888"/>
    <x v="2"/>
    <x v="6"/>
    <n v="-29.9611513115645"/>
    <n v="146.85613215622399"/>
    <x v="0"/>
    <x v="0"/>
    <x v="9"/>
    <x v="0"/>
    <x v="0"/>
    <x v="0"/>
    <x v="0"/>
  </r>
  <r>
    <s v="180"/>
    <s v="Water Conservation. The Work of the Commission."/>
    <s v="Unknown"/>
    <s v="Unknown"/>
    <s v="The Sydney Morning Herald"/>
    <n v="1885"/>
    <n v="9"/>
    <s v="Zotero"/>
    <s v="Tues 18th August 1885_x000a_Within a couple of miles of the town there is a camp of natives, to reach which the river has to be crossed, and this is done in a native canoe made of a large sheet of box bark. This bark is about 9 feet long, and between four and five wide, and has been warped by heat, forming a boat capable of carrying five adults."/>
    <m/>
    <n v="1885"/>
    <x v="2"/>
    <x v="6"/>
    <s v="-29.961151311564585"/>
    <n v="146.85613215622399"/>
    <x v="0"/>
    <x v="0"/>
    <x v="2"/>
    <x v="0"/>
    <x v="0"/>
    <x v="0"/>
    <x v="0"/>
  </r>
  <r>
    <s v="226"/>
    <s v="Brewarrina."/>
    <s v="Unknown"/>
    <s v="Unknown"/>
    <s v="The Maitland Mercury"/>
    <n v="1876"/>
    <n v="7"/>
    <s v="Zotero"/>
    <s v="Tues 1 August 1876_x000a_A blackfellow known as McElligott's Tommy, formerly a black tracker, and one of the finest specimens of the N. S. Wales aboriginals I have ever seen -a stout able-bodied follow, about five feet nine inches— struck one of his own race, a few nights past, with a short stick, down at the blacks' camp, about a mile from_x000a_our town, and killed him with one blow, fracturing his skull. Upon the information of the other blacks at the camp, he was taken next morning by the police, and was committed by Mr. H. Cohen, J P., to Dubbo, to stand his trial for murder."/>
    <m/>
    <n v="1876"/>
    <x v="4"/>
    <x v="6"/>
    <n v="-29.9611513115645"/>
    <n v="146.85613215622399"/>
    <x v="0"/>
    <x v="0"/>
    <x v="4"/>
    <x v="0"/>
    <x v="0"/>
    <x v="0"/>
    <x v="0"/>
  </r>
  <r>
    <s v="006"/>
    <s v="Aboriginal Fisheries of the Darling-Barwon Rivers"/>
    <s v="Dargin"/>
    <s v="Peter"/>
    <m/>
    <n v="1976"/>
    <n v="32"/>
    <s v="Book"/>
    <s v="Dame Mary Gilmore in 'Old Days, Old Ways' noted '…two of my uncles said they witnessed what they reckoned were five thousand blacks assembled (at Brewarrina), and people who were older said that before the massacres began there were even larger gatherings. The tribal groupings and family camps extended along the tributaries of the main stream for miles, but each group was placed within Low precision reach of all the others'."/>
    <m/>
    <s v="Unknown / early colonial"/>
    <x v="3"/>
    <x v="6"/>
    <s v="-29.961151311564585"/>
    <n v="146.85613215622399"/>
    <x v="0"/>
    <x v="0"/>
    <x v="2"/>
    <x v="0"/>
    <x v="1"/>
    <x v="0"/>
    <x v="0"/>
  </r>
  <r>
    <s v="061"/>
    <s v="Historical Indigenous use of aquatic Resource places in Australia’s Murray-Darling Basin, and its implications for river management"/>
    <s v="Humphries"/>
    <s v="Paul"/>
    <m/>
    <n v="2007"/>
    <n v="108"/>
    <s v="Zotero"/>
    <s v="…[Sturt] also mentioned about 70 permanent huts at Brewarrina, each capable of holding a dozen or more people, although this does not mean that they were occupied all the time."/>
    <m/>
    <s v="1828-1831"/>
    <x v="6"/>
    <x v="6"/>
    <s v="-29.961151311564585"/>
    <n v="146.85613215622399"/>
    <x v="0"/>
    <x v="0"/>
    <x v="2"/>
    <x v="0"/>
    <x v="1"/>
    <x v="0"/>
    <x v="0"/>
  </r>
  <r>
    <s v="159"/>
    <s v="The Two Worlds of Jimmie Barker"/>
    <s v="Mathews"/>
    <s v="Janet"/>
    <m/>
    <n v="1988"/>
    <n v="62"/>
    <s v="Book"/>
    <s v="The old Ngemba people from the Mission often camped on the river-bank near the Fisheries…There were many rocks on the river-bank showing marks made by the sharpening of stone tomahawks and spearheads. For miles on both sides of the river there are middens and an accumulation of shells which reach a depth of many feet. I have found nardu stones, also the smaller stones which were always carried for sharpening spears. Mill stones can still be seen in this area. The lower stone was always made of the hardest type of sandstone, and it could be that the slightly concaved surface was shapped intentionally and not word down from use."/>
    <m/>
    <s v="Unknown / early colonial"/>
    <x v="3"/>
    <x v="6"/>
    <s v="-29.961151311564585"/>
    <n v="146.85613215622399"/>
    <x v="0"/>
    <x v="0"/>
    <x v="7"/>
    <x v="0"/>
    <x v="1"/>
    <x v="0"/>
    <x v="0"/>
  </r>
  <r>
    <s v="230"/>
    <s v="Floods on the Lower Barwin"/>
    <s v="Unknown"/>
    <s v="Unknown"/>
    <s v="The Geelong Advertiser"/>
    <n v="1864"/>
    <n v="3"/>
    <s v="Zotero"/>
    <s v="Mon 11 April 1864_x000a_A black-fellow reached Gongolgon yeserday, from Bre station, on the Barwin ;_x000a_the station belongs to the Messrs Parnell. He informed me that they were all_x000a_camped in the bush, about ten miles from the Bogan, and that the water was_x000a_nearly up to the wall plates of the house they generally reside in."/>
    <m/>
    <n v="1863"/>
    <x v="9"/>
    <x v="6"/>
    <n v="-29.9611513115645"/>
    <n v="146.85613215622399"/>
    <x v="0"/>
    <x v="0"/>
    <x v="1"/>
    <x v="0"/>
    <x v="2"/>
    <x v="0"/>
    <x v="0"/>
  </r>
  <r>
    <s v="228"/>
    <s v="In the Bush"/>
    <s v="Unknown"/>
    <s v="Unknown"/>
    <s v="The Worker"/>
    <n v="1893"/>
    <n v="1"/>
    <s v="Zotero"/>
    <s v="Sat 19th August 1893_x000a_ A &quot;Swagsman's Shadow &quot; writes giving particulars of the shed hands' strike at Brewarra. Poor, helpless black-fellows and their gins were drafted into the places vacated by the strikers. The shearers supplied the strikers with rations,_x000a_which the manager refused, but decided by ballot that they could not effectually assist the shed hands by coming out on strike."/>
    <m/>
    <n v="1893"/>
    <x v="0"/>
    <x v="6"/>
    <n v="-29.9611513115645"/>
    <n v="146.85613215622399"/>
    <x v="0"/>
    <x v="0"/>
    <x v="3"/>
    <x v="0"/>
    <x v="2"/>
    <x v="0"/>
    <x v="0"/>
  </r>
  <r>
    <s v="109"/>
    <s v="Mud, Mussels and Toes"/>
    <s v="Martin"/>
    <s v="Sarah"/>
    <m/>
    <n v="1979"/>
    <n v="107"/>
    <s v="Zotero"/>
    <s v="there was another occurrence, on the northern bank of the Barwon about 4 miles above the Fisheries (Brewarrina) ... a lot of natives were killed without warning.(Barker, 1972, pp. 124-125)"/>
    <m/>
    <s v="Unknown / early colonial"/>
    <x v="3"/>
    <x v="6"/>
    <s v="-29.961151311564585"/>
    <n v="146.85613215622399"/>
    <x v="0"/>
    <x v="0"/>
    <x v="4"/>
    <x v="1"/>
    <x v="3"/>
    <x v="0"/>
    <x v="0"/>
  </r>
  <r>
    <s v="227"/>
    <s v="Brewarrina. (from the Argus)"/>
    <s v="Unknown"/>
    <s v="Unknown"/>
    <s v="Dubbo Dispatch and Wellington Independent"/>
    <n v="1894"/>
    <n v="3"/>
    <s v="Zotero"/>
    <s v="Fri 2nd November 1894_x000a_Last Sunday a gentleman discovered some remains at a point a few miles up the river. He reported the matter to tho police, and the District Coronor (Mr._x000a_Cathie) and Sergeant McDonald drove to tho spot. The remains were those of an aboriginal, and had the appearance of having lain for a long time. Almost the whole of the skeleton ws under ground, but the top of tho skull was exposed to view, having become quite bleached with the sun. The skull was further examined, and found to be (from its thickness) that of an aboriginal, who had evidently had been shot in tho head with a bullet, quite flattened, which was found in an inlet in the skull. The tooth in the upper and lower jaws, although uuderground, were in a rare state of preservation. The Coroner did not consider the discovery worth an inquiry, so disposed of that function. Opinions have been expressed that the remains  have laid where discovered for almost a quarter of a century."/>
    <m/>
    <n v="1894"/>
    <x v="0"/>
    <x v="6"/>
    <n v="-29.9611513115645"/>
    <n v="146.85613215622399"/>
    <x v="0"/>
    <x v="0"/>
    <x v="4"/>
    <x v="1"/>
    <x v="3"/>
    <x v="0"/>
    <x v="0"/>
  </r>
  <r>
    <s v="136"/>
    <s v="The Aboriginal Fisheries at Brewarrina"/>
    <s v="Mathews"/>
    <s v="Robert Hamilton"/>
    <m/>
    <n v="1903"/>
    <n v="148"/>
    <s v="Zotero"/>
    <s v="At some time subsequent to this period, the aborigines availed themselves of this building material and erected those interesting structures called by the white population of the river &quot;The Native Fisheries,&quot; but which are known to the blackfellows as &quot;Ngunnhu&quot;."/>
    <m/>
    <s v="Unknown / pre-colonial"/>
    <x v="6"/>
    <x v="6"/>
    <s v="-29.961151311564585"/>
    <n v="146.85613215622399"/>
    <x v="0"/>
    <x v="0"/>
    <x v="2"/>
    <x v="3"/>
    <x v="8"/>
    <x v="0"/>
    <x v="0"/>
  </r>
  <r>
    <s v="110"/>
    <s v="Mud, Mussels and Toes"/>
    <s v="Martin"/>
    <s v="Sarah"/>
    <m/>
    <n v="1979"/>
    <n v="162"/>
    <s v="Zotero"/>
    <s v="Isabel McBryde reported a quartzite quarry with axe grinding grooves and stone arrangements at Brewarrina (McBryde 1972, p.118)."/>
    <m/>
    <s v="Unknown / pre-colonial"/>
    <x v="6"/>
    <x v="6"/>
    <s v="-29.961151311564585"/>
    <n v="146.85613215622399"/>
    <x v="0"/>
    <x v="0"/>
    <x v="2"/>
    <x v="3"/>
    <x v="11"/>
    <x v="1"/>
    <x v="1"/>
  </r>
  <r>
    <s v="191"/>
    <s v="The Two Worlds of Jimmie Barker"/>
    <s v="Mathews"/>
    <s v="Janet"/>
    <m/>
    <n v="1988"/>
    <n v="62"/>
    <s v="Book"/>
    <s v="The old Ngemba people from the Mission often camped on the river-bank near the Fisheries…There were many rocks on the river-bank showing marks made by the sharpening of stone tomahawks and spearheads. For miles on both sides of the river there are middens and an accumulation of shells which reach a depth of many feet. I have found nardu stones, also the smaller stones which were always carried for sharpening spears. Mill stones can still be seen in this area. The lower stone was always made of the hardest type of sandstone, and it could be that the slightly concaved surface was shapped intentionally and not word down from use."/>
    <m/>
    <s v="Unknown "/>
    <x v="3"/>
    <x v="6"/>
    <s v="-29.961151311564585"/>
    <n v="146.85613215622399"/>
    <x v="0"/>
    <x v="0"/>
    <x v="2"/>
    <x v="3"/>
    <x v="12"/>
    <x v="2"/>
    <x v="2"/>
  </r>
  <r>
    <s v="052"/>
    <s v="Finding out about Aboriginal Burials"/>
    <s v="Hope_x000a_Little"/>
    <s v="Jeanete_x000a_Judith"/>
    <m/>
    <n v="1995"/>
    <n v="15"/>
    <s v="Zotero"/>
    <s v="Following the Darling River from the Murray-River junction and continuing to Brewarrina, there was a good supply of kopi (gypsum). This was recognised as the most important material for those who were in mourning. On burial grounds or graves in this area a number of objects have been found and classified as mourning emblems."/>
    <m/>
    <s v="Unknown / early colonial"/>
    <x v="3"/>
    <x v="6"/>
    <s v="-29.961151311564585"/>
    <n v="146.85613215622399"/>
    <x v="0"/>
    <x v="0"/>
    <x v="2"/>
    <x v="3"/>
    <x v="9"/>
    <x v="0"/>
    <x v="0"/>
  </r>
  <r>
    <s v="163"/>
    <s v="The Two Worlds of Jimmie Barker"/>
    <s v="Mathews"/>
    <s v="Janet"/>
    <m/>
    <n v="1988"/>
    <n v="130"/>
    <s v="Book"/>
    <s v="&quot;The burial ground at the Mission is near the river, and we feel that it is one with special associations for our people. One of the managers who was there in the very early days wished to be buried in this place, and 'Hopkins 1900' can be seen on his grave. There is supposed to be another grave dated to about 1890, but this is hard to locate now. The man that caused the shooting of the natives at the Hospital Creek massacre is also supposed to have been buried there. Farther east is a place where a house and cellar had been; a depression in the ground is all that remains to indicate its position."/>
    <m/>
    <n v="1890"/>
    <x v="0"/>
    <x v="20"/>
    <s v="-29.980354969068884"/>
    <s v="146.96675182195125"/>
    <x v="0"/>
    <x v="1"/>
    <x v="2"/>
    <x v="2"/>
    <x v="6"/>
    <x v="0"/>
    <x v="0"/>
  </r>
  <r>
    <s v="162"/>
    <s v="The Two Worlds of Jimmie Barker"/>
    <s v="Mathews"/>
    <s v="Janet"/>
    <m/>
    <n v="1988"/>
    <n v="79"/>
    <s v="Book"/>
    <s v="Between Barwon Bridge and the Mission there is a ridge on which there are several large granite rocks. This is where the natives used to grind their axes, and the marks can still be seen."/>
    <m/>
    <s v="Unknown / pre-colonial"/>
    <x v="6"/>
    <x v="20"/>
    <s v="-29.980354969068884"/>
    <s v="146.96675182195125"/>
    <x v="0"/>
    <x v="1"/>
    <x v="2"/>
    <x v="3"/>
    <x v="11"/>
    <x v="0"/>
    <x v="0"/>
  </r>
  <r>
    <s v="040"/>
    <s v="Bourke Shire Aboriginal Heritage Study"/>
    <s v="Ozarch EHM"/>
    <m/>
    <m/>
    <n v="2019"/>
    <n v="38"/>
    <s v="Zotero"/>
    <s v="Jimmie Barker knew of several large granite grinding stones used for the sharpening of axes that were located on a ridge between Barwon Bridge and Brewarrina Mission (Barker &amp; Mathews 1997: 79)."/>
    <m/>
    <s v="Unknown / pre-colonial"/>
    <x v="6"/>
    <x v="20"/>
    <s v="-29.980354969068884"/>
    <s v="146.96675182195125"/>
    <x v="0"/>
    <x v="1"/>
    <x v="7"/>
    <x v="3"/>
    <x v="11"/>
    <x v="0"/>
    <x v="0"/>
  </r>
  <r>
    <s v="251"/>
    <s v="The Aborigines"/>
    <s v="Taplin"/>
    <s v="C. E."/>
    <s v="The Evening Journal"/>
    <n v="1889"/>
    <n v="3"/>
    <s v="Zotero"/>
    <s v="Tues 19th November 1889_x000a_To give an instance, during my recent work. among the blacks on the Barwon or Upper Darling in New South Wales, a resident in the district one day speaking of that work expressed surprise that I did not consider it necessary to always carry a revolver, adding, &quot; There is one man you have on that mission whom I would not meet alone in the bush for a thousand pounds unless well armed .&quot; Further enquiry elicited the fact that the man he referred to had attempted to take the lives of no less than three white men. But for what reason ? This poor fellow, whom I found one of my most valuable helpers in the work of establishing the station had a wife of whom he was exceptionally proud and fond. It was in resenting the attempts on her virtue that he had obtained the sobriquet of &quot;Murdering Mick.&quot;"/>
    <m/>
    <n v="1889"/>
    <x v="2"/>
    <x v="20"/>
    <s v="-29.980354969068884"/>
    <s v="146.96675182195125"/>
    <x v="0"/>
    <x v="1"/>
    <x v="8"/>
    <x v="0"/>
    <x v="5"/>
    <x v="0"/>
    <x v="0"/>
  </r>
  <r>
    <s v="009"/>
    <s v="Aboriginal Fisheries of the Darling-Barwon Rivers"/>
    <s v="Dargin"/>
    <s v="Peter"/>
    <m/>
    <n v="1976"/>
    <n v="61"/>
    <s v="Book"/>
    <s v="In the following year [1886] a mission 10 miles (16.09km) from town on a reserve of 5,000 acres (2,023.5 ha) was commenced with construction of a manager's residence and huts of sun drued bricks and cane grass roofs."/>
    <m/>
    <n v="1886"/>
    <x v="2"/>
    <x v="20"/>
    <s v="-29.980354969068884"/>
    <s v="146.96675182195125"/>
    <x v="0"/>
    <x v="1"/>
    <x v="6"/>
    <x v="0"/>
    <x v="5"/>
    <x v="0"/>
    <x v="0"/>
  </r>
  <r>
    <s v="147"/>
    <s v="The Euahlayi Tribe: A study of Aboriginal life in Australia"/>
    <s v="Langloh Parker"/>
    <s v="Katie"/>
    <m/>
    <n v="1905"/>
    <n v="2"/>
    <s v="Zotero"/>
    <s v="The nearest missionary Community was found after we settled with the Euahlayi, and was distant about one hundred miles, at Brewarrina."/>
    <m/>
    <n v="1887"/>
    <x v="2"/>
    <x v="20"/>
    <s v="-29.980354969068884"/>
    <s v="146.96675182195125"/>
    <x v="0"/>
    <x v="1"/>
    <x v="6"/>
    <x v="0"/>
    <x v="5"/>
    <x v="0"/>
    <x v="0"/>
  </r>
  <r>
    <s v="240"/>
    <s v="Those Wollar Blacks"/>
    <s v="Unknown"/>
    <s v="Unknown"/>
    <s v="The Mudgee Guardian"/>
    <n v="1900"/>
    <n v="18"/>
    <s v="Zotero"/>
    <s v="Thurs 13 December 1900_x000a_The Aboriginals  who had lately been sent to that place had refused to conform to the rules of the station. The board was inclined to be a little indulgent to the alleged offenders, and decided to write to the manager, and point out that, in view of the exceptional circumstance's under which these Wollar aborigines were sent to the station, some kind of forbearance should, be exercised towards them, but in the meantime the young men should be made to take some part in the work of the station, or be dealt with as others who offend against the rules."/>
    <m/>
    <n v="1900"/>
    <x v="1"/>
    <x v="20"/>
    <s v="-29.980354969068884"/>
    <s v="146.96675182195125"/>
    <x v="0"/>
    <x v="1"/>
    <x v="6"/>
    <x v="0"/>
    <x v="5"/>
    <x v="0"/>
    <x v="0"/>
  </r>
  <r>
    <s v="242"/>
    <s v="Aborigines Board"/>
    <s v="Unknown"/>
    <s v="Unknown"/>
    <s v="The Daily Telegraph"/>
    <n v="1900"/>
    <n v="6"/>
    <s v="Zotero"/>
    <s v="Fri 12th October 1900_x000a_The condition of the aborigines transferred from Wollar to Brewarrlna was discussed at yesterday's meeting of the Aborigines' Board. It was reported that the aborigines were totally unprovided for. The board decided to recommend the local board to provide them with rations and clothing, more particularly the women and children, until the able-bodied men found sultable employment. _x000a_"/>
    <m/>
    <n v="1900"/>
    <x v="1"/>
    <x v="20"/>
    <s v="-29.980354969068884"/>
    <s v="146.96675182195125"/>
    <x v="0"/>
    <x v="1"/>
    <x v="6"/>
    <x v="0"/>
    <x v="5"/>
    <x v="0"/>
    <x v="0"/>
  </r>
  <r>
    <s v="243"/>
    <s v="Aborigines Board"/>
    <s v="Unknown"/>
    <s v="Unknown"/>
    <s v="The Daily Telegraph"/>
    <n v="1900"/>
    <n v="3"/>
    <s v="Zotero"/>
    <s v="Fri 14 December 1900_x000a_Arrangements were made for the removal of aboriginal chlldren from Colane_x000a_Camp to Brewarrlna."/>
    <m/>
    <n v="1900"/>
    <x v="1"/>
    <x v="20"/>
    <s v="-29.980354969068884"/>
    <s v="146.96675182195125"/>
    <x v="0"/>
    <x v="1"/>
    <x v="6"/>
    <x v="0"/>
    <x v="5"/>
    <x v="0"/>
    <x v="0"/>
  </r>
  <r>
    <s v="244"/>
    <s v="The Wollar Aborigines"/>
    <s v="Unknown"/>
    <s v="Unknown"/>
    <s v="The Maitland Daily Mercury"/>
    <n v="1900"/>
    <n v="3"/>
    <s v="Zotero"/>
    <s v="Mon 24th September 1900_x000a_On Saturday all the aboriginals from the blacks' camp at Wollar were brought into town. Those who have been confined were discharged from the Mudgee gaol. The whole party left by the night's train for the aboriginal station at Brewarrina. General satisfaction is felt at Wollar at this step being taken, as the blacks were regarded as a menace to the peace of the district."/>
    <m/>
    <n v="1900"/>
    <x v="1"/>
    <x v="20"/>
    <s v="-29.980354969068884"/>
    <s v="146.96675182195125"/>
    <x v="0"/>
    <x v="1"/>
    <x v="6"/>
    <x v="0"/>
    <x v="5"/>
    <x v="0"/>
    <x v="0"/>
  </r>
  <r>
    <s v="248"/>
    <s v="The Barwon Mission"/>
    <s v="Unknown"/>
    <s v="Unknown"/>
    <s v="The Daily Telegraph"/>
    <n v="1889"/>
    <n v="5"/>
    <s v="Zotero"/>
    <s v="Sat 12 January 1889_x000a_The Rev. J. B. Gribble, who bas been engaged in gathering in the Darling River blacks to the Barwon mission station, arrived here with a number of natives_x000a_last night. He goes on to Dubbo to-day for the purpose of further recruiting for the mission."/>
    <m/>
    <n v="1889"/>
    <x v="2"/>
    <x v="20"/>
    <s v="-29.980354969068884"/>
    <s v="146.96675182195125"/>
    <x v="0"/>
    <x v="1"/>
    <x v="6"/>
    <x v="0"/>
    <x v="5"/>
    <x v="0"/>
    <x v="0"/>
  </r>
  <r>
    <s v="091"/>
    <s v="List of Stockowners and Licensess in the Colony of New South Wales"/>
    <s v="Unknown"/>
    <s v="Unknown"/>
    <m/>
    <n v="1891"/>
    <n v="22"/>
    <s v="Zotero"/>
    <s v="pp. 22-24 Brewarrina. Aboriginal P.A_x000a__x000a_Photo of record: Photo 032_Brewarrina. Aboriginal, P.A."/>
    <m/>
    <n v="1891"/>
    <x v="0"/>
    <x v="20"/>
    <s v="-29.980354969068884"/>
    <s v="146.96675182195125"/>
    <x v="0"/>
    <x v="1"/>
    <x v="1"/>
    <x v="0"/>
    <x v="5"/>
    <x v="0"/>
    <x v="0"/>
  </r>
  <r>
    <s v="137"/>
    <s v="The Australian Pastoral Directory 1893"/>
    <s v="Unknown"/>
    <s v="Unknown"/>
    <m/>
    <n v="1893"/>
    <n v="14"/>
    <s v="Zotero"/>
    <s v="pp. 14-16 Brewarrina. Aboriginals P.A.C., Mission Station"/>
    <m/>
    <n v="1893"/>
    <x v="0"/>
    <x v="20"/>
    <s v="-29.980354969068884"/>
    <s v="146.96675182195125"/>
    <x v="0"/>
    <x v="1"/>
    <x v="1"/>
    <x v="0"/>
    <x v="5"/>
    <x v="0"/>
    <x v="0"/>
  </r>
  <r>
    <s v="236"/>
    <s v="Aborigines at Brewarrina New South Wales"/>
    <s v="Taylor"/>
    <s v="A.S."/>
    <s v="The Methodist"/>
    <n v="1893"/>
    <n v="1"/>
    <m/>
    <s v="Sat 13th May 1893_x000a_A few weeks ago your correspondent had occasion to visit the far off town of_x000a_Brewarrina, and hearing that an Aborigines' Mission station was situated_x000a_about ten miles up the Bar won River I expressed an earnest desire to see the_x000a_place before my return."/>
    <m/>
    <n v="1893"/>
    <x v="0"/>
    <x v="20"/>
    <s v="-29.980354969068884"/>
    <s v="146.96675182195125"/>
    <x v="0"/>
    <x v="1"/>
    <x v="1"/>
    <x v="0"/>
    <x v="5"/>
    <x v="0"/>
    <x v="0"/>
  </r>
  <r>
    <s v="237"/>
    <s v="Brewarrina Aborigines Mission (by Telegraph)"/>
    <s v="Unknown"/>
    <s v="Unknown"/>
    <s v="The Western Herald"/>
    <n v="1892"/>
    <n v="4"/>
    <s v="Zotero"/>
    <s v="Sat 29th October 1892_x000a_At a meeting of the Aborigines Protection Board, a private report from Brewarrina was received condemning the manner in which the Brewarrina Mission was conducted. The Board, in the discussion which followed, condemned the Aborigines Protection Association and declared it had failed in its work."/>
    <m/>
    <n v="1892"/>
    <x v="0"/>
    <x v="20"/>
    <s v="-29.980354969068884"/>
    <s v="146.96675182195125"/>
    <x v="0"/>
    <x v="1"/>
    <x v="1"/>
    <x v="0"/>
    <x v="5"/>
    <x v="0"/>
    <x v="0"/>
  </r>
  <r>
    <s v="245"/>
    <s v="Aborigines' Board"/>
    <s v="Unknown"/>
    <s v="Unknown"/>
    <s v="The Evening News"/>
    <n v="1900"/>
    <n v="3"/>
    <s v="Zotero"/>
    <s v="Sat 19th May 1900_x000a_The manager of the Brewarrina Aboriginal Station reported that there were thirty_x000a_seven aborigines on the station at the end of April."/>
    <m/>
    <n v="1900"/>
    <x v="1"/>
    <x v="20"/>
    <s v="-29.980354969068884"/>
    <s v="146.96675182195125"/>
    <x v="0"/>
    <x v="1"/>
    <x v="1"/>
    <x v="0"/>
    <x v="5"/>
    <x v="0"/>
    <x v="0"/>
  </r>
  <r>
    <s v="246"/>
    <s v="The Floods. The situation at Bourke"/>
    <s v="Unknown"/>
    <s v="Unknown"/>
    <s v="The Queensland Times"/>
    <n v="1890"/>
    <n v="5"/>
    <s v="Zotero"/>
    <s v="Thurs 17th April 1890_x000a_A telegram from Brewarrina just received states that the floods there are terrible, and still rising. Many brick buildings are collapsing, and the bank manager has been compelled to desert his office. Efforts will be made to send a boat to rescue the people at the aboriginal mission station, nine miles distant, on the arrival of the Start. Everything possible is being done."/>
    <m/>
    <n v="1890"/>
    <x v="0"/>
    <x v="20"/>
    <s v="-29.980354969068884"/>
    <s v="146.96675182195125"/>
    <x v="0"/>
    <x v="1"/>
    <x v="1"/>
    <x v="0"/>
    <x v="5"/>
    <x v="0"/>
    <x v="0"/>
  </r>
  <r>
    <s v="247"/>
    <s v="Western Division. Land District of Brewarrina"/>
    <s v="Unknown"/>
    <s v="Unknown"/>
    <s v="New South Wales Police Gazette and Weekly Record of Crime"/>
    <n v="1887"/>
    <n v="1565"/>
    <s v="Zotero"/>
    <s v="Sat 5th March 1887_x000a_Within the resumed area of Quantambone Holding No. 44, notified 11th July, 1885._x000a__x000a_The above was reserved from sale for the use of Aborigines, 17th June, 1885."/>
    <m/>
    <n v="1885"/>
    <x v="2"/>
    <x v="20"/>
    <s v="-29.980354969068884"/>
    <s v="146.96675182195125"/>
    <x v="0"/>
    <x v="1"/>
    <x v="1"/>
    <x v="0"/>
    <x v="5"/>
    <x v="0"/>
    <x v="0"/>
  </r>
  <r>
    <s v="239"/>
    <s v="Aborigines Mission Station"/>
    <s v="Unknown"/>
    <s v="Unknown"/>
    <s v="The Daily Telegraph"/>
    <n v="1888"/>
    <n v="5"/>
    <s v="Zotero"/>
    <s v="Wed 19 Decemeber 1888_x000a_Brewarrina, Tuesday.— The aborigines mission station situated on the banks of the Barwon River, nine miles from Brewnrrina, is beginning to assume a very lively appearance. There are at present 72 blacks congregated, some of them being engaged in making bricks, to bo used in erecting cottages for the natives._x000a_A school has been built, and the Rev. J. B. Gribble has just commenced school duties, having arrived a few days since, accompaniedby a number of blacks from Bourke. Great praise is due to the reverend gentleman and to Mr. Taplin for the rapid strides the mission is making."/>
    <m/>
    <n v="1888"/>
    <x v="2"/>
    <x v="20"/>
    <s v="-29.980354969068884"/>
    <s v="146.96675182195125"/>
    <x v="0"/>
    <x v="1"/>
    <x v="3"/>
    <x v="0"/>
    <x v="5"/>
    <x v="0"/>
    <x v="0"/>
  </r>
  <r>
    <s v="241"/>
    <s v="The Brewarrina Aboriginal Mission"/>
    <s v="Unknown"/>
    <s v="Unknown"/>
    <s v="The Goulburn Herald"/>
    <n v="1889"/>
    <n v="4"/>
    <s v="Zotero"/>
    <s v="Thurs 11 April 1889_x000a_The blacks are now busily engaged in making sun-dried bricks, which are used, as soon as ready for handling, in the erection of huts 25 x 12, and divided into two rooms, with fire-place in the outer room. Five of these have been started, and, if the blacks continue to work as well as they have begun, will be ready for roofing in about a month._x000a_The blacks immediately around Brewarrina comprise three tribes and number some 300 to 400; about 80 may be considered as belonging to the station, though only about 40 have yet made it their home. "/>
    <m/>
    <n v="1889"/>
    <x v="2"/>
    <x v="20"/>
    <s v="-29.980354969068884"/>
    <s v="146.96675182195125"/>
    <x v="0"/>
    <x v="1"/>
    <x v="3"/>
    <x v="0"/>
    <x v="5"/>
    <x v="0"/>
    <x v="0"/>
  </r>
  <r>
    <s v="249"/>
    <s v=" Aborigines' Protection Association"/>
    <s v="Unknown"/>
    <s v="Unknown"/>
    <s v="Goulburn Evening Penny Post"/>
    <n v="1893"/>
    <n v="2"/>
    <s v="Zotero"/>
    <s v="Thurs 4th May 1893_x000a_They had three stations-one on the Murray called Cumeroogunja, where there was a reserve of 2200 acres; one on the Murrumbidgee River called Warangesda, with a reserve of about 2000 acres; and one on the Barwon River called Brewarrinna, with a reserve of 4500 acres. At each of these places there were  farms worked by their_x000a_people."/>
    <m/>
    <n v="1893"/>
    <x v="0"/>
    <x v="20"/>
    <s v="-29.980354969068884"/>
    <s v="146.96675182195125"/>
    <x v="0"/>
    <x v="1"/>
    <x v="3"/>
    <x v="0"/>
    <x v="5"/>
    <x v="0"/>
    <x v="0"/>
  </r>
  <r>
    <s v="250"/>
    <s v="The Aborigines"/>
    <s v="Taplin"/>
    <s v="C. E."/>
    <s v="The South Australian Register"/>
    <n v="1889"/>
    <n v="6"/>
    <s v="Zotero"/>
    <s v="Tues 10th December 1889_x000a_Thus at the mission near Brewarrina, on the Barwon, I had natives from Mogil Mogil, further up the river; from Louth, down stream; from Dubbo, at the foot of the Blue Mountains; and from Hungerford, on the Queensland Border, representing a radius of somewhere about 200 miles, and these natives had come to reside in the district quite voluntarily. "/>
    <m/>
    <n v="1889"/>
    <x v="2"/>
    <x v="20"/>
    <s v="-29.980354969068884"/>
    <s v="146.96675182195125"/>
    <x v="0"/>
    <x v="1"/>
    <x v="3"/>
    <x v="0"/>
    <x v="5"/>
    <x v="0"/>
    <x v="0"/>
  </r>
  <r>
    <s v="238"/>
    <s v="Brewarrina."/>
    <s v="Unknown"/>
    <s v="Unknown"/>
    <s v="Dubbo Dispatch and Wellington Independent"/>
    <n v="1897"/>
    <n v="2"/>
    <s v="Zotero"/>
    <s v="Tues 5th October 1897_x000a_On Thursday last Mr. Coleman, caretaker of the Barwon Bridge, was the victim of a most deliberate attempt of murder. From information to hand it appears that an aboriginal named Billy King insulted Mrs. Coleman on Wednesday, and when Mr. Coleman arrived home she made a complaint about the matter. On the following day Mr. Coleman saw King and remonstrated with him for insulting Mrs. Coleman, when he turned around and picked up a stick (what the teamsters term a &quot;spreader&quot; for tracers) and hit Mr. Coleman over the head, knocking him senseless. Dr. Horton was immediately sent for, and found the sufferer in a very precarious condition. We are pleased to learn that Mr. Coleman is now out of danger. The darkie proceeded to the Mission where he was arrested by the police."/>
    <m/>
    <n v="1897"/>
    <x v="0"/>
    <x v="20"/>
    <s v="-29.980354969068884"/>
    <s v="146.96675182195125"/>
    <x v="0"/>
    <x v="1"/>
    <x v="4"/>
    <x v="0"/>
    <x v="5"/>
    <x v="0"/>
    <x v="0"/>
  </r>
  <r>
    <s v="041"/>
    <s v="Bourke Shire Aboriginal Heritage Study"/>
    <s v="Ozarch EHM"/>
    <m/>
    <m/>
    <n v="2019"/>
    <n v="42"/>
    <s v="Zotero"/>
    <s v="They include killings at the Butcher’s Tree, three miles (five kilometres) from Brewarrina Mission; killings on the northern bank of the Barwon about four miles (six kilometres) above the fisheries; and numerous other attacks ‘along the Barwon and Narran Rivers as far away as Walgett’."/>
    <m/>
    <s v="Unknown / early colonial"/>
    <x v="6"/>
    <x v="21"/>
    <m/>
    <m/>
    <x v="2"/>
    <x v="3"/>
    <x v="4"/>
    <x v="1"/>
    <x v="3"/>
    <x v="0"/>
    <x v="0"/>
  </r>
  <r>
    <s v="164"/>
    <s v="The Two Worlds of Jimmie Barker"/>
    <s v="Mathews"/>
    <s v="Janet"/>
    <m/>
    <n v="1988"/>
    <n v="123"/>
    <s v="Book"/>
    <s v="There was a path from Barwon Bridge to the Mission; it had been in use for many years before the Mission was established. Along this path, three miles from the Mission, stood the Butcher's Tree. The tree was given this name after the massacre had taken place."/>
    <m/>
    <s v="Unknown / early colonial"/>
    <x v="3"/>
    <x v="21"/>
    <m/>
    <m/>
    <x v="2"/>
    <x v="3"/>
    <x v="4"/>
    <x v="1"/>
    <x v="3"/>
    <x v="0"/>
    <x v="0"/>
  </r>
  <r>
    <s v="042"/>
    <s v="Bourke Shire Aboriginal Heritage Study"/>
    <s v="Ozarch EHM"/>
    <m/>
    <m/>
    <n v="2019"/>
    <n v="38"/>
    <s v="Zotero"/>
    <s v="Canoes or mungar were cut from tree trunks and sealed with natural gums or resins. A small number of tree trunks along the Callewatta and its tributaries (usually River Red Gum or Eucalyptus camaldulensis) bear scars where canoes were cut."/>
    <s v="Callewatta is  Ngemba for Darling River"/>
    <s v="Unknown / pre-colonial"/>
    <x v="6"/>
    <x v="17"/>
    <m/>
    <m/>
    <x v="2"/>
    <x v="3"/>
    <x v="2"/>
    <x v="3"/>
    <x v="13"/>
    <x v="0"/>
    <x v="0"/>
  </r>
  <r>
    <s v="149"/>
    <s v="The Euahlayi Tribe: A study of Aboriginal life in Australia"/>
    <s v="Langloh Parker"/>
    <s v="Katie"/>
    <m/>
    <n v="1905"/>
    <n v="50"/>
    <s v="Zotero"/>
    <s v="Bahloo's favourite spot for carrying on the girl manufacturing is somewhere on the Culgoa."/>
    <s v="Culgoa River NW of Narran Lake"/>
    <s v="Dreamtime"/>
    <x v="5"/>
    <x v="22"/>
    <s v="-29.322165965092978"/>
    <s v="146.89843603963135"/>
    <x v="0"/>
    <x v="0"/>
    <x v="2"/>
    <x v="2"/>
    <x v="7"/>
    <x v="0"/>
    <x v="0"/>
  </r>
  <r>
    <s v="089"/>
    <s v="Journal of an expediation into the interior of tropical Australia, in search of a route from Sydney to the Gulf of Carpentaria"/>
    <s v="Mitchell"/>
    <s v="Thomas Livingstone"/>
    <m/>
    <n v="1848"/>
    <n v="113"/>
    <s v="Zotero"/>
    <s v="He took us to the Culgoa, which we made at about  seven miles from the Balonne"/>
    <s v="ngarntu - Muruwari word for the Culgoa River (from Gill, 1996 p. 14)"/>
    <n v="1846"/>
    <x v="7"/>
    <x v="22"/>
    <s v="-29.322165965092978"/>
    <s v="146.89843603963135"/>
    <x v="0"/>
    <x v="0"/>
    <x v="9"/>
    <x v="4"/>
    <x v="10"/>
    <x v="0"/>
    <x v="0"/>
  </r>
  <r>
    <s v="064"/>
    <s v="Journal of an expediation into the interior of tropical Australia, in search of a route from Sydney to the Gulf of Carpentaria"/>
    <s v="Mitchell"/>
    <s v="Thomas Livingstone"/>
    <m/>
    <n v="1848"/>
    <n v="81"/>
    <s v="Zotero"/>
    <s v="Further on, hills were visible to the left, which our  native guides called Goodeingora."/>
    <m/>
    <n v="1846"/>
    <x v="7"/>
    <x v="23"/>
    <m/>
    <m/>
    <x v="2"/>
    <x v="3"/>
    <x v="9"/>
    <x v="4"/>
    <x v="10"/>
    <x v="0"/>
    <x v="0"/>
  </r>
  <r>
    <s v="283"/>
    <s v="Exploring Expedition under Sir Thomas Mitchell"/>
    <s v="Mitchell"/>
    <s v="Thomas Livingstone"/>
    <m/>
    <n v="1846"/>
    <n v="4"/>
    <s v="The Melbourne Argus"/>
    <s v="Fri 18th December 1846_x000a_We made the junction of the Macquarie with the Darling in longitude 147 33 E., latitude 30.6.11 S. ; but I found that a few miles higher, at the station of Mr. Parnell, jun. there was a good ford across the River Darling, (or Barwan,_x000a_the aboriginal name there in general use.) I accordingly crossed the river at_x000a_Mr. Parnell's station, and the superintendent sent with us two aboriginal natives, who guided us in a very straight direction, and over a fine open country to the Narran Swamp, which we reached at twenty-six miles from the Darling."/>
    <s v="Possibly either Boorooma or Collywarry stations"/>
    <n v="1846"/>
    <x v="7"/>
    <x v="24"/>
    <n v="-30.129359000000001"/>
    <n v="147.39592500000001"/>
    <x v="0"/>
    <x v="0"/>
    <x v="9"/>
    <x v="0"/>
    <x v="1"/>
    <x v="0"/>
    <x v="0"/>
  </r>
  <r>
    <s v="282"/>
    <s v="The Contributor. The Aborigines of Australia - their habits and customs"/>
    <s v="Bennett"/>
    <s v="Richard"/>
    <s v="The Leader"/>
    <n v="1888"/>
    <n v="36"/>
    <s v="Zotero"/>
    <s v="Sat 11 February 1888_x000a_At one time I was lost between the Darling and the Bokhara rivers, 31/ miles out from the former, through my horse breaking his hobbles at night and getting away. The  weather was wet, and I was for five days with nothing to eat but the roots and herbs I could find. I took the precaution of remaining in tho one place, knowing my absence from the Moorabie station near the junction of the Castlereagh with the Darling river, where I was at the time living, would cause a search party to start out to look for me. The  wet weather obliterated the tracks of my horse who had returned to the station. On the fifth day I was found by a tribe of blacks who were camped out in the back country, not far from where I was, who treated me with the greatest kindness."/>
    <m/>
    <n v="1848"/>
    <x v="7"/>
    <x v="24"/>
    <n v="-30.129359000000001"/>
    <n v="147.39592500000001"/>
    <x v="0"/>
    <x v="0"/>
    <x v="9"/>
    <x v="0"/>
    <x v="1"/>
    <x v="0"/>
    <x v="0"/>
  </r>
  <r>
    <s v="111"/>
    <s v="Mud, Mussels and Toes"/>
    <s v="Martin"/>
    <s v="Sarah"/>
    <m/>
    <n v="1979"/>
    <n v="165"/>
    <s v="Zotero"/>
    <s v="The Clearwater Lake Midden 1 was visible because of its large size and ashy colour but it was made doubly obvious by the loading ramp excavations which exposed the shells."/>
    <s v="Refer to map on pg 171_x000a__x000a_Part of the Narran Lake system. Coordinates for Narran Lake used"/>
    <s v="Unknown / pre-colonial"/>
    <x v="6"/>
    <x v="25"/>
    <s v="-29.8796"/>
    <n v="147.3871"/>
    <x v="0"/>
    <x v="0"/>
    <x v="2"/>
    <x v="3"/>
    <x v="14"/>
    <x v="0"/>
    <x v="0"/>
  </r>
  <r>
    <s v="112"/>
    <s v="Mud, Mussels and Toes"/>
    <s v="Martin"/>
    <s v="Sarah"/>
    <m/>
    <n v="1979"/>
    <n v="172"/>
    <s v="Zotero"/>
    <s v="[Clearwater Lake Midden 2]...This place is eroding badly and is surrounded on both sides by a scatter of stone artifacts which have eroded from the midden. The top is vegetated in parts but has become exposed in others and cattle are damaging it."/>
    <s v="Refer to map on pg 171_x000a__x000a_Part of the Narran Lake system. Coordinates for Narran Lake used"/>
    <s v="Unknown / pre-colonial"/>
    <x v="6"/>
    <x v="25"/>
    <s v="-29.8796"/>
    <n v="147.3871"/>
    <x v="0"/>
    <x v="0"/>
    <x v="2"/>
    <x v="3"/>
    <x v="14"/>
    <x v="3"/>
    <x v="0"/>
  </r>
  <r>
    <s v="011"/>
    <s v="Aboriginal Fisheries of the Darling-Barwon Rivers"/>
    <s v="Dargin"/>
    <s v="Peter"/>
    <m/>
    <n v="1976"/>
    <n v="45"/>
    <s v="Book"/>
    <s v="There were stone fish traps near 'Collewarry' and another 40km above Brewarrina but these have now disappeared."/>
    <s v="Correct/current spelling"/>
    <s v="Unknown / pre-colonial"/>
    <x v="6"/>
    <x v="26"/>
    <s v="-29.9833333333"/>
    <s v="147.0981944444"/>
    <x v="3"/>
    <x v="0"/>
    <x v="2"/>
    <x v="3"/>
    <x v="8"/>
    <x v="0"/>
    <x v="0"/>
  </r>
  <r>
    <s v="113"/>
    <s v="Mud, Mussels and Toes"/>
    <s v="Martin"/>
    <s v="Sarah"/>
    <m/>
    <n v="1979"/>
    <n v="148"/>
    <s v="Zotero"/>
    <s v="…[Fish trap] one at Collywarry on the Barwon about 50 kilometres above Brewarrina…"/>
    <m/>
    <s v="Unknown / pre-colonial"/>
    <x v="6"/>
    <x v="26"/>
    <s v="-29.9833333333"/>
    <s v="147.0981944444"/>
    <x v="3"/>
    <x v="0"/>
    <x v="2"/>
    <x v="3"/>
    <x v="8"/>
    <x v="0"/>
    <x v="0"/>
  </r>
  <r>
    <s v="167"/>
    <s v="The Two Worlds of Jimmie Barker"/>
    <s v="Mathews"/>
    <s v="Janet"/>
    <m/>
    <n v="1988"/>
    <n v="128"/>
    <s v="Book"/>
    <s v="Another place of great interest to the old people was away from the Culgoa River and towards Enngonia. Mother, Jimmy Kerrigan and Hippai used to tell me about the little hairy men who lived there. It was believed that they lived in holes in the ground and could be seen only during the afternoon. Sometimes a hollow drumming sound was heard coming from their underground home."/>
    <m/>
    <s v="Dreamtime"/>
    <x v="5"/>
    <x v="22"/>
    <s v="-29.322165965092978"/>
    <s v="146.89843603963135"/>
    <x v="0"/>
    <x v="0"/>
    <x v="2"/>
    <x v="2"/>
    <x v="7"/>
    <x v="0"/>
    <x v="0"/>
  </r>
  <r>
    <s v="114"/>
    <s v="Mud, Mussels and Toes"/>
    <s v="Martin"/>
    <s v="Sarah"/>
    <m/>
    <n v="1979"/>
    <n v="198"/>
    <s v="Zotero"/>
    <s v="A gullied area between the banks and a hill behind showed large core tools and large scrapers similar to those at Narran Lake."/>
    <m/>
    <s v="Unknown / pre-colonial"/>
    <x v="6"/>
    <x v="18"/>
    <s v="-29.412897914835074"/>
    <s v="147.84105878071537"/>
    <x v="0"/>
    <x v="0"/>
    <x v="2"/>
    <x v="3"/>
    <x v="15"/>
    <x v="0"/>
    <x v="0"/>
  </r>
  <r>
    <s v="054"/>
    <s v="Goodbye Riverbank"/>
    <s v="Žagar"/>
    <s v="Cilka"/>
    <m/>
    <n v="2000"/>
    <n v="7"/>
    <s v="Zotero"/>
    <s v="Aborigines believe that Guli Gurinai, our water spirit, lives in a water hole in the Barwon river near Gingie Mission. During the big drought Guli Gurinai created the waterways on our routes from Gingie through Cumborah and to Narran Lakes where Aborigines met other tribes regularly for trades and religious purposes."/>
    <s v="Oral account from Roy Barker"/>
    <s v="Dreamtime"/>
    <x v="5"/>
    <x v="27"/>
    <s v="-29.74379842635983"/>
    <s v="147.7836805269158"/>
    <x v="0"/>
    <x v="0"/>
    <x v="2"/>
    <x v="2"/>
    <x v="7"/>
    <x v="0"/>
    <x v="0"/>
  </r>
  <r>
    <s v="169"/>
    <s v="The Two Worlds of Jimmie Barker"/>
    <s v="Mathews"/>
    <s v="Janet"/>
    <m/>
    <n v="1988"/>
    <n v="62"/>
    <s v="Book"/>
    <s v="Between Cumborah and Walgett it is believed that Baiamee lit a large fire and cooked a giant carpet snake as a feast for the people. The burnt area is still visible."/>
    <m/>
    <s v="Dreamtime"/>
    <x v="5"/>
    <x v="27"/>
    <s v="-29.74379842635983"/>
    <s v="147.7836805269158"/>
    <x v="0"/>
    <x v="0"/>
    <x v="2"/>
    <x v="2"/>
    <x v="7"/>
    <x v="0"/>
    <x v="0"/>
  </r>
  <r>
    <s v="044"/>
    <s v="Bourke Shire Aboriginal Heritage Study"/>
    <s v="Ozarch EHM"/>
    <m/>
    <m/>
    <n v="2019"/>
    <n v="39"/>
    <s v="Zotero"/>
    <s v="The Culgoa River sand hills on Culgoa Downs were recognised by Muruwari as an Aboriginal burial ground. Burials at this place continued into the early 20th century."/>
    <m/>
    <n v="1900"/>
    <x v="1"/>
    <x v="28"/>
    <s v=" -29.50168"/>
    <s v=" 146.62145"/>
    <x v="1"/>
    <x v="0"/>
    <x v="2"/>
    <x v="2"/>
    <x v="6"/>
    <x v="0"/>
    <x v="0"/>
  </r>
  <r>
    <s v="165"/>
    <s v="The Two Worlds of Jimmie Barker"/>
    <s v="Mathews"/>
    <s v="Janet"/>
    <m/>
    <n v="1988"/>
    <n v="132"/>
    <s v="Book"/>
    <s v="There is another old burial place at Culgoa Downs, a few miles from the old reserve."/>
    <m/>
    <s v="Unknown / pre-colonial"/>
    <x v="6"/>
    <x v="28"/>
    <s v=" -29.50168"/>
    <s v=" 146.62145"/>
    <x v="1"/>
    <x v="0"/>
    <x v="2"/>
    <x v="2"/>
    <x v="6"/>
    <x v="0"/>
    <x v="0"/>
  </r>
  <r>
    <s v="254"/>
    <s v="New Notices. Wednesday, February 12."/>
    <s v="Unknown"/>
    <s v="Unknown"/>
    <s v="The Sydney Morning Herald"/>
    <n v="1873"/>
    <n v="3"/>
    <s v="Zotero"/>
    <s v="Wed 12th February 1873_x000a_Mr. Burns to ask the Colonial Secretary,- Is it true that no blankets were distributed to the aborigines of the districts of Culgoa and Narran during last winter and if so, why?"/>
    <m/>
    <n v="1872"/>
    <x v="4"/>
    <x v="22"/>
    <n v="-29.3221659650929"/>
    <n v="146.89843603963101"/>
    <x v="0"/>
    <x v="0"/>
    <x v="0"/>
    <x v="0"/>
    <x v="0"/>
    <x v="0"/>
    <x v="0"/>
  </r>
  <r>
    <s v="255"/>
    <s v="Parliament of New South Wales. Thursday February 13, 1873"/>
    <s v="Unknown"/>
    <s v="Unknown"/>
    <s v="The Newcastle Chronicle"/>
    <n v="1873"/>
    <n v="4"/>
    <s v="Zotero"/>
    <s v="Tues 18 February 1873_x000a_That blankets for the aborigines of Culgoa and Narran were consigned to the care of the Police Magistrate of Murrurundi, on the 15th April, 1872."/>
    <m/>
    <n v="1872"/>
    <x v="4"/>
    <x v="22"/>
    <n v="-29.3221659650929"/>
    <n v="146.89843603963101"/>
    <x v="0"/>
    <x v="0"/>
    <x v="0"/>
    <x v="0"/>
    <x v="0"/>
    <x v="0"/>
    <x v="0"/>
  </r>
  <r>
    <s v="256"/>
    <s v="Aborigines' Board"/>
    <s v="Unknown"/>
    <s v="Unknown"/>
    <s v="The Daily Telegraph"/>
    <n v="1899"/>
    <n v="3"/>
    <s v="Zotero"/>
    <s v="Fri 13th October 1899_x000a_The superintendent of police at Bourke submitted tenders for meat rations at Angledool, Culgoa, Pilliga, Colane, Goodooga, Walgett, and Tatalla aboriginal camps."/>
    <m/>
    <n v="1899"/>
    <x v="0"/>
    <x v="22"/>
    <n v="-29.3221659650929"/>
    <n v="146.89843603963101"/>
    <x v="0"/>
    <x v="0"/>
    <x v="0"/>
    <x v="0"/>
    <x v="0"/>
    <x v="0"/>
    <x v="0"/>
  </r>
  <r>
    <s v="253"/>
    <s v="The Narran"/>
    <s v="Unknown"/>
    <s v="Unknown"/>
    <s v="The Maitland Mercury"/>
    <n v="1862"/>
    <n v="2"/>
    <s v="Zotero"/>
    <s v="Tues 20th May 1862_x000a_On the 26th April two men left Mr Spring's station on the Culgoa to travel towards the Balonne, when they had gone about ten miles they were attacked by blacks, one was murdered, and the other left for dead, but recovored sufficiently to give information."/>
    <m/>
    <n v="1862"/>
    <x v="9"/>
    <x v="22"/>
    <s v="-29.322165965092978"/>
    <s v="146.89843603963135"/>
    <x v="0"/>
    <x v="0"/>
    <x v="8"/>
    <x v="0"/>
    <x v="1"/>
    <x v="0"/>
    <x v="0"/>
  </r>
  <r>
    <s v="258"/>
    <s v="Aborigines' Protection Board"/>
    <s v="Unknown"/>
    <s v="Unknown"/>
    <s v="The Sydney Morning Herald"/>
    <n v="1898"/>
    <n v="3"/>
    <s v="Zotero"/>
    <s v="Fri 15th April 1898_x000a_The police sergeant at Brewarrina reported that 17 aborigines  camped on_x000a_the Culgoa River,some of whom were over 70 years of age, were in a destitute condition, and physically incapacitated from earning a living The board approved of the issue of the usual rations to them, and directed that endeavours be made to get them to remove to the of Barwon River aborginal Station where suitable provision would be made for their care."/>
    <m/>
    <n v="1898"/>
    <x v="0"/>
    <x v="22"/>
    <n v="-29.32216597"/>
    <n v="146.89843603963101"/>
    <x v="0"/>
    <x v="0"/>
    <x v="0"/>
    <x v="0"/>
    <x v="1"/>
    <x v="0"/>
    <x v="0"/>
  </r>
  <r>
    <s v="098"/>
    <s v="Message-Sticks Used by the Aborigines of Australia"/>
    <s v="Mathews"/>
    <s v="Robert Hamilton"/>
    <m/>
    <n v="1897"/>
    <n v="293"/>
    <s v="Zotero"/>
    <s v="Imball further explained to Belay the devices on the stick as follows, which will be better understood  by referring to plate vI: Nanee (a) sent the message from the Bokhara river (b), by the hand of Imball (c), via the Birie (d), the Culgoa…"/>
    <s v="From AMSD (Australian Message Stick Database): A message stick sent by Nani in Goodooga to Pilay at Tinnenburra to coordinate a ceremony at Cudnapper creek_x000a_https://amsd.clld.org/contributions/AMus_E032197#4/-28.95/146.62"/>
    <s v="1894-1897"/>
    <x v="0"/>
    <x v="22"/>
    <s v="-29.322165965092978"/>
    <s v="146.89843603963135"/>
    <x v="0"/>
    <x v="0"/>
    <x v="2"/>
    <x v="0"/>
    <x v="1"/>
    <x v="0"/>
    <x v="0"/>
  </r>
  <r>
    <s v="115"/>
    <s v="Mud, Mussels and Toes"/>
    <s v="Martin"/>
    <s v="Sarah"/>
    <m/>
    <n v="1979"/>
    <n v="107"/>
    <s v="Zotero"/>
    <s v="After the massacres, the natives disappeared into the bush and  most of them moved towards the west. Those who survived warned the  others who lived near the Culgoa and Birrie Rivers, and they  disappeared also  (Barker 1972, pp.124-5). "/>
    <m/>
    <s v="Unknown / early colonial"/>
    <x v="3"/>
    <x v="22"/>
    <s v="-29.322165965092978"/>
    <s v="146.89843603963135"/>
    <x v="0"/>
    <x v="0"/>
    <x v="4"/>
    <x v="0"/>
    <x v="1"/>
    <x v="0"/>
    <x v="0"/>
  </r>
  <r>
    <s v="168"/>
    <s v="The Two Worlds of Jimmie Barker"/>
    <s v="Mathews"/>
    <s v="Janet"/>
    <m/>
    <n v="1988"/>
    <n v="132"/>
    <s v="Book"/>
    <s v="Near Cumborah are the old bora grounds and many marked trees; there are also marked trees along the Culgoa River. The only time a Muruwari marked a tree was when a particularly important man was buried close to it. The markings on the tree are similar to those on the body of the deceased."/>
    <m/>
    <s v="Unknown / pre-colonial"/>
    <x v="6"/>
    <x v="22"/>
    <s v="-29.322165965092978"/>
    <s v="146.89843603963135"/>
    <x v="0"/>
    <x v="0"/>
    <x v="2"/>
    <x v="2"/>
    <x v="4"/>
    <x v="4"/>
    <x v="0"/>
  </r>
  <r>
    <s v="150"/>
    <s v="The Euahlayi Tribe: A study of Aboriginal life in Australia"/>
    <s v="Langloh Parker"/>
    <s v="Katie"/>
    <m/>
    <n v="1905"/>
    <n v="102"/>
    <s v="Zotero"/>
    <s v="At Dooyanweenia are two rocks where Byamee and Birrahgnooloo rested, and to these rocks are still sticking the hairs he pulled from his bearh, after rubbing his face with gum to make them come out easily."/>
    <m/>
    <s v="Dreamtime"/>
    <x v="5"/>
    <x v="29"/>
    <m/>
    <m/>
    <x v="2"/>
    <x v="3"/>
    <x v="2"/>
    <x v="2"/>
    <x v="7"/>
    <x v="0"/>
    <x v="0"/>
  </r>
  <r>
    <s v="166"/>
    <s v="The Two Worlds of Jimmie Barker"/>
    <s v="Mathews"/>
    <s v="Janet"/>
    <m/>
    <n v="1988"/>
    <n v="126"/>
    <s v="Book"/>
    <s v="Mother and the old people frequently discussed the importance of the Culgoa River to the Muruwari tribe. They also spoke about thirteen completely hairless Aborigines who lived near the river during those years [1850-1860]."/>
    <m/>
    <n v="1850"/>
    <x v="8"/>
    <x v="22"/>
    <s v="-29.322165965092978"/>
    <s v="146.89843603963135"/>
    <x v="0"/>
    <x v="0"/>
    <x v="2"/>
    <x v="2"/>
    <x v="7"/>
    <x v="0"/>
    <x v="0"/>
  </r>
  <r>
    <s v="012"/>
    <s v="Aboriginal Fisheries of the Darling-Barwon Rivers"/>
    <s v="Dargin"/>
    <s v="Peter"/>
    <m/>
    <n v="1976"/>
    <n v="5"/>
    <s v="Book"/>
    <s v="A legend of this Big Dry tells of the people camped on one of the remaining waterholes, named Geerah, halfway between Brewarrina and Walgett. Lining the waterhole were giant gums and in the tallest was the nest of Mullian, the eagle."/>
    <s v="Refer to map on page 2-3 of Aboriginal Fisheries of the Darling-Barwon Rivers"/>
    <s v="Dreamtime"/>
    <x v="5"/>
    <x v="30"/>
    <m/>
    <m/>
    <x v="2"/>
    <x v="3"/>
    <x v="2"/>
    <x v="2"/>
    <x v="7"/>
    <x v="0"/>
    <x v="0"/>
  </r>
  <r>
    <s v="252"/>
    <s v="Colonial Fragments"/>
    <s v="Unknown"/>
    <s v="Unknown"/>
    <s v="The Daily Observer"/>
    <n v="1885"/>
    <n v="2"/>
    <s v="Zotero"/>
    <s v="Thur 2nd April 1885_x000a_As we approached the Queensland border we heard that two foot travellers had been murdered by the blacks ; and on arriving at the  last station on the Culgoa in New South Wales we found the only inmates were women folk, for the men were absent in pursuit of the blacks, and the Queensland native police from tho Bungil were expected daily."/>
    <m/>
    <n v="1885"/>
    <x v="2"/>
    <x v="22"/>
    <s v="-29.322165965092978"/>
    <s v="146.89843603963135"/>
    <x v="0"/>
    <x v="0"/>
    <x v="8"/>
    <x v="1"/>
    <x v="3"/>
    <x v="0"/>
    <x v="0"/>
  </r>
  <r>
    <s v="257"/>
    <s v="Walgett."/>
    <s v="Unknown"/>
    <s v="Unknown"/>
    <s v="The Australian Town and Country Journal"/>
    <n v="1886"/>
    <n v="17"/>
    <s v="Zotero"/>
    <s v="Sat 2 Jan 1886_x000a_ In April, 1883, the blacks said there was going to be a great drought, and they accordingly betook themselves off to a series of deep waterholes on the Culgoa River. That part of their prophesy has come too true. Lately they have returned, and commenced to build canoes, stating &quot;Cobon water soon.&quot; It is to be hoped their prognostications are correct."/>
    <m/>
    <n v="1886"/>
    <x v="2"/>
    <x v="22"/>
    <n v="-29.3221659650929"/>
    <n v="146.89843603963101"/>
    <x v="0"/>
    <x v="0"/>
    <x v="1"/>
    <x v="4"/>
    <x v="10"/>
    <x v="0"/>
    <x v="0"/>
  </r>
  <r>
    <s v="068"/>
    <s v="Journal of an expediation into the interior of tropical Australia, in search of a route from Sydney to the Gulf of Carpentaria"/>
    <s v="Mitchell"/>
    <s v="Thomas Livingstone"/>
    <m/>
    <n v="1848"/>
    <n v="85"/>
    <s v="Zotero"/>
    <s v="This, they said, was the  “ Narran,” but to the vast swampy plain they gave  the name of Keegurodyin, a name quite useless for  white men’s memories or maps."/>
    <m/>
    <n v="1846"/>
    <x v="7"/>
    <x v="31"/>
    <m/>
    <m/>
    <x v="2"/>
    <x v="3"/>
    <x v="9"/>
    <x v="4"/>
    <x v="10"/>
    <x v="0"/>
    <x v="0"/>
  </r>
  <r>
    <s v="055"/>
    <s v="Goodbye Riverbank"/>
    <s v="Žagar"/>
    <s v="Cilka"/>
    <m/>
    <n v="2000"/>
    <n v="7"/>
    <s v="Zotero"/>
    <s v="Aborigines believe that Guli Gurinai, our water spirit, lives in a water hole in the Barwon river near Gingie Mission. During the big drought Guli Gurinai created the waterways on our routes from Gingie through Cumborah and to Narran Lakes where Aborigines met other tribes regularly for trades and religious purposes."/>
    <s v="Oral account from Roy Barker"/>
    <s v="Dreamtime"/>
    <x v="5"/>
    <x v="32"/>
    <s v="-29.988695594666403"/>
    <s v="148.07503197109813"/>
    <x v="0"/>
    <x v="0"/>
    <x v="2"/>
    <x v="2"/>
    <x v="7"/>
    <x v="0"/>
    <x v="0"/>
  </r>
  <r>
    <s v="034"/>
    <s v="Australian Legendary Tales"/>
    <s v="Langloh Parker"/>
    <s v="Katie"/>
    <m/>
    <n v="1895"/>
    <n v="45"/>
    <s v="Zotero"/>
    <s v="Googoorewon, which was then a dry plain, with the solemn, gaunt trees all round it, which had once been black fellows"/>
    <m/>
    <s v="Dreamtime"/>
    <x v="5"/>
    <x v="33"/>
    <m/>
    <m/>
    <x v="2"/>
    <x v="3"/>
    <x v="2"/>
    <x v="2"/>
    <x v="7"/>
    <x v="0"/>
    <x v="0"/>
  </r>
  <r>
    <s v="045"/>
    <s v="Bourke Shire Aboriginal Heritage Study"/>
    <s v="Ozarch EHM"/>
    <m/>
    <m/>
    <n v="2019"/>
    <n v="40"/>
    <s v="Zotero"/>
    <s v="Carved trees often designated the place of a nearby burial place of an important man. Jimmie Barker recalled that there were many marked trees at the bora grounds near Cumborah as well as others around the Culgoa River (Barker &amp; Mathews 1997: 132)."/>
    <m/>
    <s v="Unknown / pre-colonial"/>
    <x v="6"/>
    <x v="27"/>
    <s v="-29.74379842635983"/>
    <s v="147.7836805269158"/>
    <x v="0"/>
    <x v="0"/>
    <x v="2"/>
    <x v="2"/>
    <x v="6"/>
    <x v="4"/>
    <x v="0"/>
  </r>
  <r>
    <s v="170"/>
    <s v="The Two Worlds of Jimmie Barker"/>
    <s v="Mathews"/>
    <s v="Janet"/>
    <m/>
    <n v="1988"/>
    <n v="132"/>
    <s v="Book"/>
    <s v="Near Cumborah are the old bora grounds and many marked trees; there are also marked trees along the Culgoa River. The only time a Muruwari marked a tree was when a particularly important man was buried close to it. The markings on the tree are similar to those on the body of the deceased."/>
    <m/>
    <s v="Unknown / pre-colonial"/>
    <x v="6"/>
    <x v="27"/>
    <s v="-29.74379842635983"/>
    <s v="147.7836805269158"/>
    <x v="0"/>
    <x v="0"/>
    <x v="2"/>
    <x v="2"/>
    <x v="4"/>
    <x v="4"/>
    <x v="3"/>
  </r>
  <r>
    <s v="151"/>
    <s v="The Euahlayi Tribe: A study of Aboriginal life in Australia"/>
    <s v="Langloh Parker"/>
    <s v="Katie"/>
    <m/>
    <n v="1905"/>
    <n v="139"/>
    <s v="Zotero"/>
    <s v="They were called Bungebah, and were killed as devils by an alien tribe somewhere between Noorahwahgean and Gooroolay."/>
    <m/>
    <s v="Dreamtime"/>
    <x v="5"/>
    <x v="34"/>
    <m/>
    <m/>
    <x v="2"/>
    <x v="3"/>
    <x v="2"/>
    <x v="2"/>
    <x v="7"/>
    <x v="0"/>
    <x v="0"/>
  </r>
  <r>
    <s v="259"/>
    <s v="The drought and floods"/>
    <s v="Unknown"/>
    <s v="Unknown"/>
    <s v="The Sydney Morning Herald"/>
    <n v="1885"/>
    <n v="5"/>
    <s v="Zotero"/>
    <s v="Sat 26 Dec 1885_x000a_Mr Heaton then goes on to say: &quot;At our station, Dumble, on the Bokhara and Biree Rivers, the whole of the males are busily engaged in constructing canoes, and as far as they can possibly do are laying in stocks of provisions. &quot;"/>
    <m/>
    <n v="1885"/>
    <x v="2"/>
    <x v="35"/>
    <n v="-29.130600000000001"/>
    <n v="147.44398000000001"/>
    <x v="1"/>
    <x v="0"/>
    <x v="7"/>
    <x v="0"/>
    <x v="2"/>
    <x v="0"/>
    <x v="0"/>
  </r>
  <r>
    <s v="260"/>
    <s v="Pastoral. Wool, Weather, Stock Movements"/>
    <s v="Unknown"/>
    <s v="Unknown"/>
    <s v="The Evening News"/>
    <n v="1885"/>
    <n v="3"/>
    <s v="Zotero"/>
    <s v="Fri 11th December 1885_x000a_At our station Dumble, on the Bokaira and Biree Rivers, the whole of tbe males are busy constructing canoes, and as far as they can possibly do, are laying_x000a_in stocks of provisions. When asked what is meant by these preparations, they say, ' Big fellow flood come along directly, swim everywhere.' I see by telegraph that the blacks at Bourke are making similar preparations."/>
    <m/>
    <n v="1885"/>
    <x v="2"/>
    <x v="35"/>
    <n v="-29.130600000000001"/>
    <n v="147.44398000000001"/>
    <x v="1"/>
    <x v="0"/>
    <x v="7"/>
    <x v="0"/>
    <x v="2"/>
    <x v="0"/>
    <x v="0"/>
  </r>
  <r>
    <s v="116"/>
    <s v="Mud, Mussels and Toes"/>
    <s v="Martin"/>
    <s v="Sarah"/>
    <m/>
    <n v="1979"/>
    <n v="158"/>
    <s v="Zotero"/>
    <s v="Author's diagram of language groups that attended the Bora held on Euahlayi Country in 186?  (from Howitt 1904 p.688 - information incomplete)."/>
    <m/>
    <n v="1860"/>
    <x v="9"/>
    <x v="36"/>
    <m/>
    <m/>
    <x v="2"/>
    <x v="3"/>
    <x v="2"/>
    <x v="2"/>
    <x v="4"/>
    <x v="0"/>
    <x v="0"/>
  </r>
  <r>
    <s v="002"/>
    <s v="Aboriginal Bora held at Gundabloui in 1894"/>
    <s v="Mathews"/>
    <s v="Robert Hamilton"/>
    <m/>
    <n v="1894"/>
    <n v="103"/>
    <s v="Zotero"/>
    <s v="…in 1862 a Bora was held on Eurie Eurie run, on the Barwon River."/>
    <m/>
    <n v="1862"/>
    <x v="9"/>
    <x v="37"/>
    <s v="-29.947796241928557"/>
    <s v="148.22787649419254"/>
    <x v="0"/>
    <x v="0"/>
    <x v="2"/>
    <x v="2"/>
    <x v="4"/>
    <x v="0"/>
    <x v="0"/>
  </r>
  <r>
    <s v="152"/>
    <s v="The Euahlayi Tribe: A study of Aboriginal life in Australia"/>
    <s v="Langloh Parker"/>
    <s v="Katie"/>
    <m/>
    <n v="1905"/>
    <n v="102"/>
    <s v="Zotero"/>
    <s v="At Guddee, a spring in the Brewarrina district, every now and then come up huge bones of animals now extinct.Legends say that these bones are the remains of the victims of Mullyan, the eagle-hawk, whose camp was in the tree at the foot of which was the spring..."/>
    <m/>
    <s v="Dreamtime"/>
    <x v="5"/>
    <x v="38"/>
    <m/>
    <m/>
    <x v="2"/>
    <x v="3"/>
    <x v="2"/>
    <x v="2"/>
    <x v="7"/>
    <x v="0"/>
    <x v="0"/>
  </r>
  <r>
    <s v="013"/>
    <s v="Aboriginal Fisheries of the Darling-Barwon Rivers"/>
    <s v="Dargin"/>
    <s v="Peter"/>
    <m/>
    <n v="1976"/>
    <n v="4"/>
    <s v="Book"/>
    <s v="...Baiame dug after  it, cutting a channel that filled behind him with the escaping water from Gurrungga."/>
    <s v="Ngemba word for the large waterhole on the Barwon River at Brewarrina_x000a__x000a_Coordinates are for the Brewarrina fist traps"/>
    <s v="Dreamtime"/>
    <x v="5"/>
    <x v="39"/>
    <s v="-29.957936648216613"/>
    <s v="146.85623099248141"/>
    <x v="0"/>
    <x v="0"/>
    <x v="2"/>
    <x v="2"/>
    <x v="7"/>
    <x v="0"/>
    <x v="0"/>
  </r>
  <r>
    <s v="056"/>
    <s v="Goodbye Riverbank"/>
    <s v="Žagar"/>
    <s v="Cilka"/>
    <m/>
    <n v="2000"/>
    <n v="17"/>
    <s v="Zotero"/>
    <s v="Gingie Reserve was established in 1895. The manager and the teacher took care of its running. Mission people were expected to find work on the land but they were to stay out of town."/>
    <s v="Oral account from Roy Barker"/>
    <n v="1895"/>
    <x v="0"/>
    <x v="32"/>
    <s v="-29.988695594666403"/>
    <s v="148.07503197109813"/>
    <x v="0"/>
    <x v="0"/>
    <x v="6"/>
    <x v="0"/>
    <x v="0"/>
    <x v="0"/>
    <x v="0"/>
  </r>
  <r>
    <s v="261"/>
    <s v="Walgett"/>
    <s v="Unknown"/>
    <s v="Unknown"/>
    <s v="The Maitland Mercury"/>
    <n v="1878"/>
    <n v="7"/>
    <s v="Zotero"/>
    <s v="Thurs 21 August 1879_x000a_The human remains reported as found upon Gingi Run, in a hollow tree, have turned out to be those of an aboriginal belonging to the &quot;Gingi&quot; tribe. It seems it is the custom for the blacks to thus entomb their dead under certain circumstances, and the hollow tree upon this occasion did duty as a native vault."/>
    <m/>
    <n v="1879"/>
    <x v="4"/>
    <x v="40"/>
    <n v="-29.821267641965701"/>
    <n v="147.937293583056"/>
    <x v="0"/>
    <x v="0"/>
    <x v="2"/>
    <x v="2"/>
    <x v="6"/>
    <x v="0"/>
    <x v="0"/>
  </r>
  <r>
    <s v="262"/>
    <s v="The Emporer's Carp"/>
    <s v="Unknown"/>
    <s v="Unknown"/>
    <s v="The Australian Town and Country Journal"/>
    <n v="1894"/>
    <n v="46"/>
    <s v="Zotero"/>
    <s v="Sat 28th July 1894_x000a_The remains  of an aboriginal who had been missing from Gingie Station, in the Walgett district, for four days were found by a party of swagsmen in the Barwon River, near Dangar Bridge, on July 18."/>
    <m/>
    <n v="1894"/>
    <x v="0"/>
    <x v="40"/>
    <n v="-29.821267641965701"/>
    <n v="147.937293583056"/>
    <x v="0"/>
    <x v="0"/>
    <x v="4"/>
    <x v="0"/>
    <x v="2"/>
    <x v="0"/>
    <x v="0"/>
  </r>
  <r>
    <s v="031"/>
    <s v="Australian Legendary Tales"/>
    <s v="Langloh Parker"/>
    <s v="Katie"/>
    <m/>
    <n v="1895"/>
    <n v="37"/>
    <s v="Zotero"/>
    <s v="Girrahween "/>
    <s v="translates to place of flowers"/>
    <n v="1895"/>
    <x v="0"/>
    <x v="41"/>
    <m/>
    <m/>
    <x v="2"/>
    <x v="3"/>
    <x v="1"/>
    <x v="4"/>
    <x v="10"/>
    <x v="0"/>
    <x v="0"/>
  </r>
  <r>
    <s v="263"/>
    <s v="Shearers' Strike"/>
    <s v="Unknown"/>
    <s v="Unknown"/>
    <s v="The Albury Banner and Wodonga Express"/>
    <n v="1893"/>
    <n v="29"/>
    <s v="Zotero"/>
    <s v="Fri 4th August 1893_x000a_A shearers' strike occurred recently at Dalgetty's Gnomery Station. It appears that after signing the agreement the shearers objected to commence work owing to a blackfellow and his gin being employed on the board as pickers-up."/>
    <m/>
    <n v="1893"/>
    <x v="0"/>
    <x v="42"/>
    <n v="-29.16732"/>
    <n v="147.26616000000001"/>
    <x v="1"/>
    <x v="0"/>
    <x v="3"/>
    <x v="0"/>
    <x v="2"/>
    <x v="0"/>
    <x v="0"/>
  </r>
  <r>
    <s v="264"/>
    <s v="Shearing Notes"/>
    <s v="Unknown"/>
    <s v="Unknown"/>
    <s v="The Worker"/>
    <n v="1893"/>
    <n v="1"/>
    <s v="Zotero"/>
    <s v="Sat 5 August 1893_x000a_A small strike is reported from Gnomery Station, near Goodooga. A few of the men objected to shear owing to a &quot;gin&quot; being put to work on the shearing board. By the way, is this not a case for investigation by the Aborigines Protection Board ?"/>
    <m/>
    <n v="1893"/>
    <x v="0"/>
    <x v="42"/>
    <n v="-29.16732"/>
    <n v="147.26616000000001"/>
    <x v="1"/>
    <x v="0"/>
    <x v="3"/>
    <x v="0"/>
    <x v="2"/>
    <x v="0"/>
    <x v="0"/>
  </r>
  <r>
    <s v="265"/>
    <s v="Miscellaneous Information"/>
    <s v="Unknown"/>
    <s v="Unknown"/>
    <s v="New South Wales Police Gazette and Weekly Record of Crime"/>
    <n v="1885"/>
    <n v="237"/>
    <s v="Zotero"/>
    <s v="Wed 4th August 1886_x000a_Tatala.—On the 29th June last, the body of a man, name unknown, was found in the bush on the Gnomery Run, near Tatala, by an aboriginal named Cubby"/>
    <m/>
    <n v="1886"/>
    <x v="2"/>
    <x v="42"/>
    <n v="-29.16732"/>
    <n v="147.26616000000001"/>
    <x v="1"/>
    <x v="0"/>
    <x v="4"/>
    <x v="0"/>
    <x v="2"/>
    <x v="0"/>
    <x v="0"/>
  </r>
  <r>
    <s v="063"/>
    <s v="Journal of an expediation into the interior of tropical Australia, in search of a route from Sydney to the Gulf of Carpentaria"/>
    <s v="Mitchell"/>
    <s v="Thomas Livingstone"/>
    <m/>
    <n v="1848"/>
    <n v="80"/>
    <s v="Zotero"/>
    <s v="Early this morning the stockman  brought over two natives, brothers, who were to  guide us to water ten miles on towards the Narran,  which was said to be thirty-five miles off."/>
    <m/>
    <n v="1846"/>
    <x v="7"/>
    <x v="9"/>
    <s v="-29.240390243887113"/>
    <s v="147.79066662283174"/>
    <x v="0"/>
    <x v="0"/>
    <x v="9"/>
    <x v="0"/>
    <x v="1"/>
    <x v="0"/>
    <x v="0"/>
  </r>
  <r>
    <s v="277"/>
    <s v="Aborigines' Protection Board"/>
    <s v="Unknown"/>
    <s v="Unknown"/>
    <s v="The Evening News"/>
    <n v="1898"/>
    <n v="7"/>
    <s v="Zotero"/>
    <s v="Fri 10th June 1898_x000a_The officer in charge of the police at Goodooga reported that about fifty aborigines now residing : on the reserve of 240 acres at that place, who wished to fence in the land, offered to supply the posts to erect the fences if the board would supply the necessary wire. The board directed that the aborigines be given, to understand, through the police, that -when the posts were ready in position the wire would be provided."/>
    <m/>
    <n v="1898"/>
    <x v="0"/>
    <x v="43"/>
    <s v="-29.121154792923477"/>
    <s v=" 147.45180308545335"/>
    <x v="0"/>
    <x v="0"/>
    <x v="5"/>
    <x v="0"/>
    <x v="0"/>
    <x v="0"/>
    <x v="0"/>
  </r>
  <r>
    <s v="266"/>
    <s v="Aborigines Protection Board"/>
    <s v="Unknown"/>
    <s v="Unknown"/>
    <s v="The Daily Telegraph"/>
    <n v="1897"/>
    <n v="7"/>
    <s v="Zotero"/>
    <s v="Sat 13th November 1897_x000a_At the meeting of the Aborigines' Protection Board yesterday, authority was granted for the purchase, of clothing to a number of old and Infirm aboriginals at Angledool, Goodooga, Tatalla...also rations to destitute aboriginals at Wollar, Cobar, and Tatalla."/>
    <m/>
    <n v="1897"/>
    <x v="0"/>
    <x v="43"/>
    <s v="-29.121154792923477"/>
    <s v=" 147.45180308545335"/>
    <x v="0"/>
    <x v="0"/>
    <x v="0"/>
    <x v="0"/>
    <x v="0"/>
    <x v="0"/>
    <x v="0"/>
  </r>
  <r>
    <s v="267"/>
    <s v="Aborigines' Board"/>
    <s v="Unknown"/>
    <s v="Unknown"/>
    <s v="The Daily Telegraph"/>
    <n v="1899"/>
    <n v="3"/>
    <s v="Zotero"/>
    <s v="Fri 13th October 1899_x000a_The superintendent of police at Bourke submitted tenders for meat rations at Angledool, Culgoa, Pilliga, Colane, Goodooga, Walgett, and Tatalla aboriginal camps."/>
    <m/>
    <n v="1899"/>
    <x v="0"/>
    <x v="43"/>
    <s v="-29.121154792923477"/>
    <s v=" 147.45180308545335"/>
    <x v="0"/>
    <x v="0"/>
    <x v="0"/>
    <x v="0"/>
    <x v="0"/>
    <x v="0"/>
    <x v="0"/>
  </r>
  <r>
    <s v="268"/>
    <s v="Aborigines' Board"/>
    <s v="Unknown"/>
    <s v="Unknown"/>
    <s v="The Evening News"/>
    <n v="1900"/>
    <n v="3"/>
    <s v="Zotero"/>
    <s v="Sat 10th November 1900_x000a_The police at Goodooga, Angledool, and Tatalla recommended the issue of clothing to 50 aborigines, at a cost of £21. 1 ..Approved."/>
    <m/>
    <n v="1900"/>
    <x v="1"/>
    <x v="43"/>
    <s v="-29.121154792923477"/>
    <s v=" 147.45180308545335"/>
    <x v="0"/>
    <x v="0"/>
    <x v="0"/>
    <x v="0"/>
    <x v="0"/>
    <x v="0"/>
    <x v="0"/>
  </r>
  <r>
    <s v="269"/>
    <s v="Aborigines' Protection Board"/>
    <s v="Unknown"/>
    <s v="Unknown"/>
    <s v="The Evening News"/>
    <n v="1898"/>
    <n v="5"/>
    <s v="Zotero"/>
    <s v="Fri 24th June 1898_x000a_Approval was given for the addition of meat to the rations issued to a number of aboriginals at Pilliga, Goodooga, and Angledool, who, from old age_x000a_and infirmity, were unable to hunt. A report was received from the officer in charge of the police at Angledool regarding a letter addressed to the Under-Secretary by Mr. W. N. Willis, M.L.A., representing that the aboriginals at that place were suffering badly through the nonreceipt of the usual annual supply of blankets. The officer reported that 100 blankets were received by him on the 23rd of last month, and were distributed on the same day. "/>
    <m/>
    <n v="1898"/>
    <x v="0"/>
    <x v="43"/>
    <s v="-29.121154792923477"/>
    <s v=" 147.45180308545335"/>
    <x v="0"/>
    <x v="0"/>
    <x v="0"/>
    <x v="0"/>
    <x v="0"/>
    <x v="0"/>
    <x v="0"/>
  </r>
  <r>
    <s v="270"/>
    <s v="Aborigines' Protection Board"/>
    <s v="Unknown"/>
    <s v="Unknown"/>
    <s v="The Evening News"/>
    <n v="1896"/>
    <n v="8"/>
    <s v="Zotero"/>
    <s v="Fri 20th November 1896_x000a_Authority was granted for the purchase of clothing for a number of children attending school at Parkes and Cowra and for a number of old and infirm_x000a_aborigines at Goodooga, Tatalla, and AngledooL_x000a_"/>
    <m/>
    <n v="1896"/>
    <x v="0"/>
    <x v="43"/>
    <s v="-29.121154792923477"/>
    <s v=" 147.45180308545335"/>
    <x v="0"/>
    <x v="0"/>
    <x v="0"/>
    <x v="0"/>
    <x v="0"/>
    <x v="0"/>
    <x v="0"/>
  </r>
  <r>
    <s v="271"/>
    <s v="Aborigines' Protection Board"/>
    <s v="Unknown"/>
    <s v="Unknown"/>
    <s v="The Sydney Morning Herald"/>
    <n v="1898"/>
    <n v="3"/>
    <s v="Zotero"/>
    <s v="Fri 24th June 1898_x000a_it was agreed that meat should be included in the rations issued to aborigines at Pilliga, Goodooga, and Angledool."/>
    <m/>
    <n v="1898"/>
    <x v="0"/>
    <x v="43"/>
    <s v="-29.121154792923477"/>
    <s v=" 147.45180308545335"/>
    <x v="0"/>
    <x v="0"/>
    <x v="0"/>
    <x v="0"/>
    <x v="0"/>
    <x v="0"/>
    <x v="0"/>
  </r>
  <r>
    <s v="272"/>
    <s v="Aborigines' Protection Board"/>
    <s v="Unknown"/>
    <s v="Unknown"/>
    <s v="The Evening News"/>
    <n v="1896"/>
    <n v="5"/>
    <s v="Zotero"/>
    <s v="Fri 31st July 1896_x000a_The Principal Under-Secretary forwarded a letter addressed to the Chief Secretary by Mr. Willis, M.L.A., urging that rations be supplied to the aborigines at Walgrett, Collarendabri, Goodooga, and Angledool. The secretary reported that the destitute aborigines at the places named had been receiving rations from the board for years past, and that during the first six months of the present year the sum of £160 had been expended for that purpose. It was decided to acquaint the Chief Secretary of the fact. "/>
    <m/>
    <n v="1896"/>
    <x v="0"/>
    <x v="43"/>
    <s v="-29.121154792923477"/>
    <s v=" 147.45180308545335"/>
    <x v="0"/>
    <x v="0"/>
    <x v="0"/>
    <x v="0"/>
    <x v="0"/>
    <x v="0"/>
    <x v="0"/>
  </r>
  <r>
    <s v="273"/>
    <s v="Aborigines' Protection Board"/>
    <s v="Unknown"/>
    <s v="Unknown"/>
    <s v="The Sydney Morning Herald"/>
    <n v="1896"/>
    <n v="3"/>
    <s v="Zotero"/>
    <s v="Fri 24th April 1896_x000a_The supply of clothing to a number of old and infirm aboriginals at Goodooga, Angledool, Tatalla, and Megalong, and of rations to a numberat Piangabla station, near Collarendabri, and at Mungindi and Rooty Hill was approved."/>
    <m/>
    <n v="1896"/>
    <x v="0"/>
    <x v="43"/>
    <s v="-29.121154792923477"/>
    <s v=" 147.45180308545335"/>
    <x v="0"/>
    <x v="0"/>
    <x v="0"/>
    <x v="0"/>
    <x v="0"/>
    <x v="0"/>
    <x v="0"/>
  </r>
  <r>
    <s v="278"/>
    <s v="Aborigines' Protection Board"/>
    <s v="Unknown"/>
    <s v="Unknown"/>
    <s v="The Sydney Morning Herald"/>
    <n v="1897"/>
    <n v="3"/>
    <s v="Zotero"/>
    <s v="Fri 16th July 1897_x000a_Tenders were accepted for the supply of rations to aborigines in camp at Cobar, Glen Innes, Walgett, Goodooga, and Pilliga."/>
    <m/>
    <n v="1897"/>
    <x v="0"/>
    <x v="43"/>
    <s v="-29.121154792923477"/>
    <s v=" 147.45180308545335"/>
    <x v="0"/>
    <x v="0"/>
    <x v="0"/>
    <x v="0"/>
    <x v="0"/>
    <x v="0"/>
    <x v="0"/>
  </r>
  <r>
    <s v="280"/>
    <s v="Queensland Blacks. Afraid of an Act of Parliament"/>
    <s v="Unknown"/>
    <s v="Unknown"/>
    <s v="The Charters Towers Daily Herald"/>
    <n v="1898"/>
    <n v="3"/>
    <s v="Zotero"/>
    <s v="Wed 20th April 1898_x000a_A number of Queensland aboriginals are now camped at Goodooga, having_x000a_crossed the border. They are afraid that under the Queensland Aborigines'_x000a_Protection Act they will be taken to Frasers Island."/>
    <m/>
    <n v="1898"/>
    <x v="0"/>
    <x v="43"/>
    <s v="-29.121154792923477"/>
    <s v=" 147.45180308545335"/>
    <x v="0"/>
    <x v="0"/>
    <x v="6"/>
    <x v="0"/>
    <x v="0"/>
    <x v="0"/>
    <x v="0"/>
  </r>
  <r>
    <s v="274"/>
    <s v="Country News. Goodooga, January 1."/>
    <s v="Unknown"/>
    <s v="Unknown"/>
    <s v="The Globe"/>
    <n v="1886"/>
    <n v="5"/>
    <s v="Zotero"/>
    <s v="Sat 2nd January 1886_x000a_After the programme had been prepared, and the first race was about to start, an objection was raised against black boys running with the white people. This, of course, caused a little delay, and with a view to settle matters amicably the programme was amended and the blacks had to run by themselves."/>
    <m/>
    <n v="1886"/>
    <x v="2"/>
    <x v="43"/>
    <s v="-29.121154792923477"/>
    <s v=" 147.45180308545335"/>
    <x v="0"/>
    <x v="0"/>
    <x v="1"/>
    <x v="0"/>
    <x v="0"/>
    <x v="0"/>
    <x v="0"/>
  </r>
  <r>
    <s v="275"/>
    <s v="Aborigines' Protection"/>
    <s v="Unknown"/>
    <s v="Unknown"/>
    <s v="The Evening News"/>
    <n v="1896"/>
    <n v="8"/>
    <s v="Zotero"/>
    <s v="Fri 26th June 1896_x000a_The Under-Secretary for Lands wrote, informing the-board that the Minister did not consider it necessary 'to set apart lands at Goodooga specially for aboriginals, as no objections had been received as to their continuing their camp on the commons at that place."/>
    <m/>
    <n v="1896"/>
    <x v="0"/>
    <x v="43"/>
    <s v="-29.121154792923477"/>
    <s v=" 147.45180308545335"/>
    <x v="0"/>
    <x v="0"/>
    <x v="1"/>
    <x v="0"/>
    <x v="0"/>
    <x v="0"/>
    <x v="0"/>
  </r>
  <r>
    <s v="276"/>
    <s v="Aborigines' Protection Board"/>
    <s v="Unknown"/>
    <s v="Unknown"/>
    <s v="The Evening News"/>
    <n v="1898"/>
    <n v="5"/>
    <s v="Zotero"/>
    <s v="Sat 6th August 1898_x000a_A letter was received from Mr. T. W. Bacon, of Goodooga, urging the reconsideration by the board of their decision not to remove the aboriginals from the reserve now occupied by them at that place. It was directed that a reply be forwarded to the effect that unless a more suitable reserve could be obtained, the board would not be justified in disturbing the aboriginals from their present location."/>
    <m/>
    <n v="1898"/>
    <x v="0"/>
    <x v="43"/>
    <s v="-29.121154792923477"/>
    <s v=" 147.45180308545335"/>
    <x v="0"/>
    <x v="0"/>
    <x v="1"/>
    <x v="0"/>
    <x v="0"/>
    <x v="0"/>
    <x v="0"/>
  </r>
  <r>
    <s v="279"/>
    <s v="Aborigines' Protection Board"/>
    <s v="Unknown"/>
    <s v="Unknown"/>
    <s v="The Sydney Morning Herald"/>
    <n v="1895"/>
    <n v="3"/>
    <s v="Zotero"/>
    <s v="Fri 6th December 1895_x000a_The question of setting apart an area of land in the Goodooga district for the use of aborigines was considered, and it was decided to recommend to the_x000a_Minister for Lands that about 200 acres be so appropriated"/>
    <m/>
    <n v="1895"/>
    <x v="0"/>
    <x v="43"/>
    <s v="-29.121154792923477"/>
    <s v=" 147.45180308545335"/>
    <x v="0"/>
    <x v="0"/>
    <x v="1"/>
    <x v="0"/>
    <x v="0"/>
    <x v="0"/>
    <x v="0"/>
  </r>
  <r>
    <s v="099"/>
    <s v="Message-Sticks Used by the Aborigines of Australia"/>
    <s v="Mathews"/>
    <s v="Robert Hamilton"/>
    <m/>
    <n v="1897"/>
    <n v="293"/>
    <s v="Zotero"/>
    <s v="This is a message from Nanee, Kumbo Kangaroo, a head-man of the Culgoa tribe, to Belay, Kubbi Iguana, one of the head-men of the Tinanburra tribe. Nanee handed the stick to a black fellow named Imball, Kubbi Iguana, at Goodooga, on the Bokhara river, New South Wales, who conveyed it to Belay at Tinanburra, on the Cuttaburra river, Queensland, the distance between the two places being about 100m"/>
    <s v="From AMSD (Australian Message Stick Database): A message stick sent by Nani in Goodooga to Pilay at Tinnenburra to coordinate a ceremony at Cudnapper creek"/>
    <s v="1894-1897"/>
    <x v="0"/>
    <x v="43"/>
    <s v="-29.121154792923477"/>
    <s v=" 147.45180308545335"/>
    <x v="0"/>
    <x v="0"/>
    <x v="2"/>
    <x v="0"/>
    <x v="1"/>
    <x v="0"/>
    <x v="0"/>
  </r>
  <r>
    <s v="100"/>
    <s v="Message-Sticks Used by the Aborigines of Australia"/>
    <s v="Mathews"/>
    <s v="Robert Hamilton"/>
    <m/>
    <n v="1897"/>
    <s v="293-294"/>
    <s v="Zotero"/>
    <s v="This message-stick was sent from Goodooga, on the Bokhara river, by a black fellow named Kubbi Iguana to his friend Yarri, Murri Iguana, residing at Angledool, on the Narran river, inviting the latter to bring his tribe to Goodooga to a corroboree which was shortly to take place."/>
    <m/>
    <s v="1894-1897"/>
    <x v="0"/>
    <x v="43"/>
    <s v="-29.121154792923477"/>
    <s v=" 147.45180308545335"/>
    <x v="0"/>
    <x v="0"/>
    <x v="2"/>
    <x v="0"/>
    <x v="1"/>
    <x v="0"/>
    <x v="0"/>
  </r>
  <r>
    <s v="101"/>
    <s v="Message-Sticks Used by the Aborigines of Australia"/>
    <s v="Mathews"/>
    <s v="Robert Hamilton"/>
    <m/>
    <n v="1897"/>
    <s v="294-295"/>
    <s v="Zotero"/>
    <s v="This stick was made by Belay and Kunganooay, two brothers, of the Kubbi class and Iguana totem, both of whom are chief men of the Tinanburra tribe, and was dispatched to Nanee, Kumbo Kangaroo, one of the head-men of the Culgoa tribe, residing at Goodooga. The makers of the stick gave it, together with a verbal message, to a black fellow whose name I did not learn, who brought it from Tinanburra to Toulby, a distance of about 60 miles, where he handed it over to Kubbi Iguana, a man of the Culgoa tribe. Kubbi brought it to Tatalla, on the Culgoa river, about ten miles from Toulby, where he met &quot;George,&quot; a half-caste, a Kubbi Padamelon, who is a &quot;tracker&quot; attached to the Goodooga police station and who was then at Tatalla on official duty. Kubbi handed the stick to George, who brought it to Goodooga and gave it to Nanee..."/>
    <m/>
    <s v="1894-1897"/>
    <x v="0"/>
    <x v="43"/>
    <s v="-29.121154792923477"/>
    <s v=" 147.45180308545335"/>
    <x v="0"/>
    <x v="0"/>
    <x v="2"/>
    <x v="0"/>
    <x v="1"/>
    <x v="0"/>
    <x v="0"/>
  </r>
  <r>
    <s v="102"/>
    <s v="Message-Sticks Used by the Aborigines of Australia"/>
    <s v="Mathews"/>
    <s v="Robert Hamilton"/>
    <m/>
    <n v="1897"/>
    <n v="296"/>
    <s v="Zotero"/>
    <s v="These drawings represent both sides of a stick sent by Nanee (a), one of the head-men of the Culgoa tribe, to Boomee, Murri Opossum (b), one of the head-men of the Cuttaburra tribe. It was dispatched from Goodooga, on the Bokhara river, to Brewarra, on the Cuttaburra river, both places being in New South Wales. Kubbi (c), one of the head-men of the Culgoa tribe, carried it from Goodooga to Tatalla, on the Culgoa river, where he handed it over to Noondooayah, Murri Opossum (d), one of the Cuttaburra tribe, but not a head-man, who was then at Tatalla on a visit to the Culgoa tribe. Noondooayah then carried the stick from Tatalla to Brewarra and handed it to Boomee..."/>
    <s v="Pastoral station in Queensland -27.59283 146.866_x000a_https://www.exploroz.com/places/36809/qld+tatala"/>
    <s v="1894-1897"/>
    <x v="0"/>
    <x v="43"/>
    <s v="-29.121154792923477"/>
    <s v=" 147.45180308545335"/>
    <x v="0"/>
    <x v="0"/>
    <x v="2"/>
    <x v="0"/>
    <x v="1"/>
    <x v="0"/>
    <x v="0"/>
  </r>
  <r>
    <s v="032"/>
    <s v="Australian Legendary Tales"/>
    <s v="Langloh Parker"/>
    <s v="Katie"/>
    <m/>
    <n v="1895"/>
    <n v="35"/>
    <s v="Zotero"/>
    <s v="Googoorewon"/>
    <s v="translates to place of trees and referred to as the big borah "/>
    <n v="1895"/>
    <x v="0"/>
    <x v="33"/>
    <m/>
    <m/>
    <x v="2"/>
    <x v="3"/>
    <x v="1"/>
    <x v="4"/>
    <x v="10"/>
    <x v="0"/>
    <x v="0"/>
  </r>
  <r>
    <s v="033"/>
    <s v="Australian Legendary Tales"/>
    <s v="Langloh Parker"/>
    <s v="Katie"/>
    <m/>
    <n v="1895"/>
    <n v="38"/>
    <s v="Zotero"/>
    <s v="And it bears the name of Googoorewon, the place of trees, and round the edge of it is still to be seen the remains of the borah ring of earth."/>
    <m/>
    <n v="1895"/>
    <x v="0"/>
    <x v="33"/>
    <m/>
    <m/>
    <x v="2"/>
    <x v="3"/>
    <x v="2"/>
    <x v="2"/>
    <x v="4"/>
    <x v="0"/>
    <x v="0"/>
  </r>
  <r>
    <s v="014"/>
    <s v="Aboriginal Fisheries of the Darling-Barwon Rivers"/>
    <s v="Dargin"/>
    <s v="Peter"/>
    <m/>
    <n v="1976"/>
    <n v="5"/>
    <s v="Book"/>
    <s v="First the boulders, then higher to a man's thigh with smaller stones, until the stone mesh stretched down the slope of the wall of Gurrungga and across the dry water course."/>
    <s v="Ngemba word for the large waterhole on the Barwon River at Brewarrina_x000a__x000a_Coordinates are for the Brewarrina fish traps"/>
    <s v="Dreamtime"/>
    <x v="5"/>
    <x v="39"/>
    <s v="-29.957936648216613"/>
    <s v="146.85623099248141"/>
    <x v="0"/>
    <x v="0"/>
    <x v="2"/>
    <x v="2"/>
    <x v="7"/>
    <x v="0"/>
    <x v="0"/>
  </r>
  <r>
    <s v="154"/>
    <s v="The Euahlayi Tribe: A study of Aboriginal life in Australia"/>
    <s v="Langloh Parker"/>
    <s v="Katie"/>
    <m/>
    <n v="1905"/>
    <n v="102"/>
    <s v="Zotero"/>
    <s v="At Mildool is a scooped-out rock which Byamee made to catch and hold water; beside it he hollowed out a smaller stone, that his dog might have a drinking -place too."/>
    <s v="GNR - Parish in the Western Division Parish DP no. 755051"/>
    <s v="Dreamtime"/>
    <x v="5"/>
    <x v="44"/>
    <s v="-29.0213055556"/>
    <s v="147.8559166667"/>
    <x v="3"/>
    <x v="0"/>
    <x v="2"/>
    <x v="2"/>
    <x v="7"/>
    <x v="0"/>
    <x v="0"/>
  </r>
  <r>
    <s v="187"/>
    <s v="What Katie Did"/>
    <s v="Singleton"/>
    <s v="Jane"/>
    <m/>
    <n v="2020"/>
    <n v="34"/>
    <s v="Apple Books"/>
    <s v="They weren't able to find the Minggah tree, which it was believed was human but if you got too close, it disappeared."/>
    <s v="described by K. Langloh Parker (1905) as a 'great gaunt coolabah near our river garden'_x000a_"/>
    <s v="Dreamtime"/>
    <x v="5"/>
    <x v="45"/>
    <m/>
    <m/>
    <x v="2"/>
    <x v="3"/>
    <x v="2"/>
    <x v="2"/>
    <x v="7"/>
    <x v="0"/>
    <x v="0"/>
  </r>
  <r>
    <s v="035"/>
    <s v="Australian Legendary Tales"/>
    <s v="Langloh Parker"/>
    <s v="Katie"/>
    <m/>
    <n v="1895"/>
    <n v="11"/>
    <s v="Zotero"/>
    <s v="On swiftly sped Byamee, making short cuts from big hole to big hole, and his track is still marked by the morilla ridges that stretch down the Narran, pointing in towards the deep holes._x000a_"/>
    <s v="S. Martin 1979 p. 134 quotes Mitchell (1848, p.77) 'Morella Ridges' (The Ridge beside the Narran) AND &quot;These fruits were probably  easily exploited from the Narran River as it runs beside The Ridge where the fruits and tree seeds belonging in the shrub woodland vegetation complex grow.&quot;_x000a__x000a_There is a Morilla St in Lightning Ridge"/>
    <s v="Dreamtime"/>
    <x v="5"/>
    <x v="46"/>
    <m/>
    <m/>
    <x v="2"/>
    <x v="3"/>
    <x v="2"/>
    <x v="2"/>
    <x v="7"/>
    <x v="0"/>
    <x v="0"/>
  </r>
  <r>
    <s v="018"/>
    <s v="Aboriginal Fisheries of the Darling-Barwon Rivers"/>
    <s v="Dargin"/>
    <s v="Peter"/>
    <m/>
    <n v="1976"/>
    <n v="9"/>
    <s v="Book"/>
    <s v="…but little research has been carried out in the area of Lake Narran which, according to legend, also owes it's origin to Baiame. It is told that his two wives were eaten as they bathed in a spring by two Kurrias (crocodiles) who swallowed up the waters of the spring, and of the Narran, as they retreated down the river, where Baiame speared them."/>
    <m/>
    <s v="Dreamtime"/>
    <x v="5"/>
    <x v="47"/>
    <s v="-29.80864286975867"/>
    <n v="147.321425002133"/>
    <x v="0"/>
    <x v="0"/>
    <x v="2"/>
    <x v="2"/>
    <x v="7"/>
    <x v="0"/>
    <x v="0"/>
  </r>
  <r>
    <s v="001"/>
    <s v="A Noted Native"/>
    <s v="Unknown"/>
    <s v="Unknown"/>
    <s v="The Sun"/>
    <n v="1911"/>
    <n v="3"/>
    <s v="Zotero"/>
    <s v="Thurs 17 August 1911_x000a_Peter Flood, one of the oldest full-blooded aborigines of the Darling country, died at 80 years of ago in Brewarrina Hospital yesterday. He was the last of the survivors of Hospital Creek massacre, and one of those who met the Burke and Wills expedition at the crossing of the Darling."/>
    <m/>
    <n v="1859"/>
    <x v="8"/>
    <x v="48"/>
    <s v="-29.820949768106363"/>
    <s v="146.87493323624085"/>
    <x v="0"/>
    <x v="2"/>
    <x v="4"/>
    <x v="1"/>
    <x v="3"/>
    <x v="0"/>
    <x v="0"/>
  </r>
  <r>
    <s v="015"/>
    <s v="Aboriginal Fisheries of the Darling-Barwon Rivers"/>
    <s v="Dargin"/>
    <s v="Peter"/>
    <m/>
    <n v="1976"/>
    <n v="59"/>
    <s v="Book"/>
    <s v="Kerrigan recorded: 'The wild blacks were that bad that all the cattlemen had to deal with them…[Apparently a stockman was lost and fearing that he had been killed by the blacks a strong search party, from a wide area, was made up. The party came across the tribe moving up the Bokhara and along a dry watercourse to Lake Narran. The search of a dilly bag found a hand, carrying of which was common practice; whether it was the stockman's is unsure; or if he was later found - is uncertain]... so they rounded them up like cattle, old and yound, on the Quantambone Plain and shot them, there was about 400, and that is how Hospital Creek got its name. There were only two piccaninnies left, a boy and a girl, the boy they took to Milroy and he was still there when I went there in 1881 and I think that the girl was there too'."/>
    <m/>
    <n v="1859"/>
    <x v="8"/>
    <x v="48"/>
    <s v="-29.820949768106363"/>
    <s v="146.87493323624085"/>
    <x v="0"/>
    <x v="2"/>
    <x v="4"/>
    <x v="1"/>
    <x v="3"/>
    <x v="0"/>
    <x v="0"/>
  </r>
  <r>
    <s v="046"/>
    <s v="Bourke Shire Aboriginal Heritage Study"/>
    <s v="Ozarch EHM"/>
    <m/>
    <m/>
    <n v="2019"/>
    <n v="41"/>
    <s v="Zotero"/>
    <s v="One of the more brutal attacks occurred at Quantambone Station, 18-20kms north of Brewarrina. The place became known as Hospital Creek due to the large number of people killed."/>
    <m/>
    <n v="1859"/>
    <x v="8"/>
    <x v="48"/>
    <s v="-29.820949768106363"/>
    <s v="146.87493323624085"/>
    <x v="0"/>
    <x v="2"/>
    <x v="4"/>
    <x v="1"/>
    <x v="3"/>
    <x v="0"/>
    <x v="0"/>
  </r>
  <r>
    <s v="090"/>
    <s v="Last of the Culgoa Blacks. A reputed wholesale murderer."/>
    <s v="Unknown"/>
    <s v="Unknown"/>
    <s v="The Farmer and Settler"/>
    <n v="1911"/>
    <n v="5"/>
    <s v="Zotero"/>
    <s v="Tues 24th October 1911_x000a_The blackfellow, Peter Flood, who died at Brewarrina, N.S.W., recently from pneumonia, was a full-blooded aboriginal, and was eighty-two years, of age. He was one of the survivors of the famous Hospital Creek massacre, which occurred fifty-two years ago."/>
    <m/>
    <n v="1859"/>
    <x v="8"/>
    <x v="48"/>
    <s v="-29.820949768106363"/>
    <s v="146.87493323624085"/>
    <x v="0"/>
    <x v="2"/>
    <x v="4"/>
    <x v="1"/>
    <x v="3"/>
    <x v="0"/>
    <x v="0"/>
  </r>
  <r>
    <s v="104"/>
    <s v="Missing Shepherd"/>
    <s v="Unknown"/>
    <s v="Unknown"/>
    <s v="The Gilgandra Weekly"/>
    <n v="1950"/>
    <n v="3"/>
    <s v="Zotero"/>
    <s v="Thurs 26 January 1950_x000a_...employed by the owners of &quot;Quantambone&quot; Station. One day, he mysteriously disappeared, leaving behind no trace or indication of why, or how. Immediately, however, it was suspected he had been killed and his body taken away by a wandering tribe of aborigines who were known to be in the locality...Shortly after sundown, the troopers, who had been joined by a number of residents from Brewarrina and the surrounding holdings, came upon a fairly large tribe of black camped on the banks of Hospital Creek, at a spot where the whitewoods grew."/>
    <m/>
    <n v="1859"/>
    <x v="8"/>
    <x v="48"/>
    <s v="-29.820949768106363"/>
    <s v="146.87493323624085"/>
    <x v="0"/>
    <x v="2"/>
    <x v="4"/>
    <x v="1"/>
    <x v="3"/>
    <x v="0"/>
    <x v="0"/>
  </r>
  <r>
    <s v="117"/>
    <s v="Mud, Mussels and Toes"/>
    <s v="Martin"/>
    <s v="Sarah"/>
    <m/>
    <n v="1979"/>
    <n v="107"/>
    <s v="Zotero"/>
    <s v="The worst massacre in the district took place at Hospital Creek which is the channel through which Narran Lake empties into the Bokara and then the Barwon after the very highest floods. This is about 15 miles north of Brewarrina and is in U'alarai territory."/>
    <m/>
    <n v="1859"/>
    <x v="8"/>
    <x v="48"/>
    <s v="-29.820949768106363"/>
    <s v="146.87493323624085"/>
    <x v="0"/>
    <x v="2"/>
    <x v="4"/>
    <x v="1"/>
    <x v="3"/>
    <x v="0"/>
    <x v="0"/>
  </r>
  <r>
    <s v="129"/>
    <s v="One Eyed Peter"/>
    <s v="Unknown"/>
    <s v="Unknown"/>
    <s v="The Daily Telegraph"/>
    <n v="1911"/>
    <n v="6"/>
    <s v="Zotero"/>
    <s v="Mon 28th August 1911_x000a_…succumbed in the local hospital to pneumonia. Deceased was supposed to have been one of the survivors of the Hospital Creek massacre, which occurred some 52 years ago about 13 miles from Brewarrina."/>
    <m/>
    <n v="1859"/>
    <x v="8"/>
    <x v="48"/>
    <s v="-29.820949768106363"/>
    <s v="146.87493323624085"/>
    <x v="0"/>
    <x v="2"/>
    <x v="4"/>
    <x v="1"/>
    <x v="3"/>
    <x v="0"/>
    <x v="0"/>
  </r>
  <r>
    <s v="131"/>
    <s v="Days of Massacre"/>
    <s v="Unknown"/>
    <s v="Unknown"/>
    <s v="Smith's Weekly"/>
    <n v="1919"/>
    <n v="15"/>
    <s v="Zotero"/>
    <s v="Sat 12 April 1919_x000a_Amongst the worst massacres in NSW was that at Hospital Creek, near Brewarrina,in 1859. Settlers then making out West, being troubled by the blacks, and living in fear of them, a party was got together, who surrounded about 800 aborigines at the creek,and shot down most of them, including women and piccaninnies."/>
    <m/>
    <n v="1859"/>
    <x v="8"/>
    <x v="48"/>
    <s v="-29.820949768106363"/>
    <s v="146.87493323624085"/>
    <x v="0"/>
    <x v="2"/>
    <x v="4"/>
    <x v="1"/>
    <x v="3"/>
    <x v="0"/>
    <x v="0"/>
  </r>
  <r>
    <s v="171"/>
    <s v="The Two Worlds of Jimmie Barker"/>
    <s v="Mathews"/>
    <s v="Janet"/>
    <m/>
    <n v="1988"/>
    <n v="74"/>
    <s v="Book"/>
    <s v="…His wife was Polly Marshall; she was reputed to be something of a witch doctor. When she was very young she had been wounded in the Hospital Creek massacre of Aborigines. Polly had been hit by two shots in the thigh while her mother was carrying her and trying to run away. There must have been a slight lull in the shooting and as Polly became very heavy to carry her mother put her under a large log and continued running. Later that night she sneaked back, collected Polly and took her in the direction of Cumborah."/>
    <m/>
    <n v="1859"/>
    <x v="8"/>
    <x v="48"/>
    <s v="-29.820949768106363"/>
    <s v="146.87493323624085"/>
    <x v="0"/>
    <x v="2"/>
    <x v="4"/>
    <x v="1"/>
    <x v="3"/>
    <x v="0"/>
    <x v="0"/>
  </r>
  <r>
    <s v="172"/>
    <s v="The Two Worlds of Jimmie Barker"/>
    <s v="Mathews"/>
    <s v="Janet"/>
    <m/>
    <n v="1988"/>
    <n v="124"/>
    <s v="Book"/>
    <s v="The largest massacre was at Hospital Creek, which is eleven miles from Brewarrina on the Goodooga road."/>
    <m/>
    <n v="1859"/>
    <x v="8"/>
    <x v="48"/>
    <s v="-29.820949768106363"/>
    <s v="146.87493323624085"/>
    <x v="0"/>
    <x v="2"/>
    <x v="4"/>
    <x v="1"/>
    <x v="3"/>
    <x v="0"/>
    <x v="0"/>
  </r>
  <r>
    <s v="186"/>
    <s v="What Katie Did"/>
    <s v="Singleton"/>
    <s v="Jane"/>
    <m/>
    <n v="2020"/>
    <n v="62"/>
    <s v="Apple Books"/>
    <s v="…infamous Hospital Creek Massacre only 20 years earlier and not from Bangate."/>
    <s v="GNR - Description: A watercourse about 11 km long. It rises about 10 km E by N of Hailstone Tank flowing Low precisionly W by N into Bokhara River, about 15 km north of Brewarrina."/>
    <n v="1859"/>
    <x v="8"/>
    <x v="48"/>
    <s v="-29.820949768106363"/>
    <s v="146.87493323624085"/>
    <x v="0"/>
    <x v="2"/>
    <x v="4"/>
    <x v="1"/>
    <x v="3"/>
    <x v="0"/>
    <x v="0"/>
  </r>
  <r>
    <s v="190"/>
    <s v="Wild and Wide"/>
    <s v="Unknown"/>
    <s v="Unknown"/>
    <s v="Smith's Weekly"/>
    <n v="1925"/>
    <n v="22"/>
    <s v="Zotero"/>
    <s v="Sat 31st January 1925_x000a_A party of new settlers, whose principle incentive was fear of the blacks, rounded up about 300 of them at a spot about 13 miles from Brewarrina, and shot down nearly all of them, including women and piccaninnies."/>
    <m/>
    <n v="1859"/>
    <x v="8"/>
    <x v="48"/>
    <s v="-29.820949768106363"/>
    <s v="146.87493323624085"/>
    <x v="0"/>
    <x v="2"/>
    <x v="4"/>
    <x v="1"/>
    <x v="3"/>
    <x v="0"/>
    <x v="0"/>
  </r>
  <r>
    <s v="281"/>
    <s v="Treatment of the Blacks"/>
    <s v="Unknown"/>
    <s v="Unknown"/>
    <s v="The Maryborough Chronicle"/>
    <n v="1876"/>
    <n v="4"/>
    <s v="Zotero"/>
    <s v="Tues 9 May 1876_x000a_When, however, these monsters &quot;had their cattle together&quot; they would collect themselves for the purpose of &quot;a bit of sport,&quot; which meant going on the trail of_x000a_the aboriginals. &quot;Hospital Creek,&quot; opposite Breewarrina, &quot;The Point,&quot; between Yambegoona and the same place, and Warraweena Billywung might, if they could speak, tell of deeds unparalleled even in the Book of Books. We are now speaking of the years from 1840-1858."/>
    <m/>
    <n v="1859"/>
    <x v="8"/>
    <x v="48"/>
    <s v="-29.820949768106363"/>
    <s v="146.87493323624085"/>
    <x v="0"/>
    <x v="2"/>
    <x v="4"/>
    <x v="1"/>
    <x v="3"/>
    <x v="0"/>
    <x v="0"/>
  </r>
  <r>
    <s v="047"/>
    <s v="Bourke Shire Aboriginal Heritage Study"/>
    <s v="Ozarch EHM"/>
    <m/>
    <m/>
    <n v="2019"/>
    <n v="37"/>
    <s v="Zotero"/>
    <s v="The people of the lower Culgoa River, known as the Nandugari, occupied an area extended from about 40 miles (64.37 kilometres) above Brewarrina down the Culgoa River to its junction with the Darling River, then extended down the Darling to North Bourke...This small group lived near the Barwon River near its junction with the Culgoa River (Barker &amp; Mathews 1977: 27–8)."/>
    <m/>
    <s v="Unknown / pre-colonial"/>
    <x v="6"/>
    <x v="49"/>
    <s v="-29.956834858156522"/>
    <s v="146.3080777791831"/>
    <x v="0"/>
    <x v="0"/>
    <x v="2"/>
    <x v="0"/>
    <x v="1"/>
    <x v="0"/>
    <x v="0"/>
  </r>
  <r>
    <s v="043"/>
    <s v="Bourke Shire Aboriginal Heritage Study"/>
    <s v="Ozarch EHM"/>
    <m/>
    <m/>
    <n v="2019"/>
    <n v="75"/>
    <s v="Zotero"/>
    <s v="Around 40 kms east-northeast of Bourke is the confluence of the Culgoa, Barwon and Bogan Rivers (Figure 5-8)_x000a__x000a_Table 5-1 - Ceremony place, Barabinya, Murrawarri, Nyemba People meet there"/>
    <s v="Refer to &quot;Table 5-1: Places proposed as significant by the Aboriginal people consulted for this report.&quot; on page 68 and map on page 99_x000a__x000a_Coordinates are for the headwaters of the Darling River"/>
    <s v="Unknown / pre-colonial"/>
    <x v="6"/>
    <x v="49"/>
    <s v="-29.95798082869684"/>
    <s v="146.30858369081866"/>
    <x v="0"/>
    <x v="0"/>
    <x v="2"/>
    <x v="2"/>
    <x v="4"/>
    <x v="0"/>
    <x v="0"/>
  </r>
  <r>
    <s v="070"/>
    <s v="Journal of an expediation into the interior of tropical Australia, in search of a route from Sydney to the Gulf of Carpentaria"/>
    <s v="Mitchell"/>
    <s v="Thomas Livingstone"/>
    <m/>
    <n v="1848"/>
    <n v="90"/>
    <s v="Zotero"/>
    <s v="Our guide was  of that country, and not at all unwilling or timid;  but evidently very desirous to introduce us to the  inhabitants, and procure amongst them other guides  to lead us further."/>
    <m/>
    <n v="1846"/>
    <x v="7"/>
    <x v="9"/>
    <s v="-29.240390243887113"/>
    <s v="147.79066662283174"/>
    <x v="0"/>
    <x v="0"/>
    <x v="9"/>
    <x v="0"/>
    <x v="1"/>
    <x v="0"/>
    <x v="0"/>
  </r>
  <r>
    <s v="081"/>
    <s v="Journal of an expediation into the interior of tropical Australia, in search of a route from Sydney to the Gulf of Carpentaria"/>
    <s v="Mitchell"/>
    <s v="Thomas Livingstone"/>
    <m/>
    <n v="1848"/>
    <n v="106"/>
    <s v="Zotero"/>
    <s v="At the  spot where I wished to place the camp I perceived  a native, and with Youranigh’s assistance, managed  to prevent him from running away. He spoke only  “ Jerwoolleroy,” a dialect which my native did not  understand at all well."/>
    <m/>
    <n v="1846"/>
    <x v="7"/>
    <x v="9"/>
    <s v="-29.240390243887113"/>
    <s v="147.79066662283174"/>
    <x v="0"/>
    <x v="0"/>
    <x v="9"/>
    <x v="0"/>
    <x v="1"/>
    <x v="0"/>
    <x v="0"/>
  </r>
  <r>
    <s v="022"/>
    <s v="Aborigines of Victoria: With notes relating to the habits of the Natives of other parts of Australia and Tasmania compiled from various sources for the Government of Victoria Volume 2"/>
    <s v="Brough Smyth"/>
    <s v="Robert"/>
    <m/>
    <n v="1878"/>
    <n v="285"/>
    <s v="AIATSIS"/>
    <s v="King &quot;Rory&quot;, an old cheif of the Wailwun (Wile-one) tribe, on the Barwan near the junction of the Namoi, gave me the following account of the stars..."/>
    <m/>
    <n v="1878"/>
    <x v="4"/>
    <x v="50"/>
    <s v="-30.00"/>
    <n v="148.12"/>
    <x v="0"/>
    <x v="1"/>
    <x v="2"/>
    <x v="0"/>
    <x v="1"/>
    <x v="0"/>
    <x v="0"/>
  </r>
  <r>
    <s v="003"/>
    <s v="Aboriginal Bora held at Gundabloui in 1894"/>
    <s v="Mathews"/>
    <s v="Robert Hamilton"/>
    <m/>
    <n v="1894"/>
    <n v="102"/>
    <s v="Zotero"/>
    <s v="An account of a Bora held between the Lower Castlereagh and Barwon Rivers in 1862…is given by Rev. W Ridley in his work, Kamilario and Other Australian Languages, pp. 154, 155."/>
    <s v="coordinates are for the area between the lower Castlereagh and Barwon Rivers"/>
    <n v="1862"/>
    <x v="9"/>
    <x v="51"/>
    <s v="-30.124882018811356"/>
    <s v="147.5922351099797"/>
    <x v="0"/>
    <x v="0"/>
    <x v="2"/>
    <x v="2"/>
    <x v="4"/>
    <x v="0"/>
    <x v="0"/>
  </r>
  <r>
    <s v="065"/>
    <s v="Journal of an expediation into the interior of tropical Australia, in search of a route from Sydney to the Gulf of Carpentaria"/>
    <s v="Mitchell"/>
    <s v="Thomas Livingstone"/>
    <m/>
    <n v="1848"/>
    <n v="81"/>
    <s v="Zotero"/>
    <s v="At six miles,  other slight elevations appeared to the N. E. which  the natives called Toolowly, a name well calculated to  fix in white men’s memory elevations too low to be  called hills."/>
    <m/>
    <n v="1846"/>
    <x v="7"/>
    <x v="52"/>
    <m/>
    <m/>
    <x v="2"/>
    <x v="3"/>
    <x v="9"/>
    <x v="4"/>
    <x v="10"/>
    <x v="0"/>
    <x v="0"/>
  </r>
  <r>
    <s v="036"/>
    <s v="Australian Legendary Tales"/>
    <s v="Langloh Parker"/>
    <s v="Katie"/>
    <m/>
    <n v="1895"/>
    <n v="11"/>
    <s v="Zotero"/>
    <s v="Soon will the black swans find their way here, the pelicans and the ducks; where there was dry land and stones in the past, in the future there will be water and water-fowl, from henceforth; when the Narran runs it will run into this hole, and by the spreading of its waters will a big lake be made. And what Byamee said has come to pass, as the Narran Lake shows, with its large sheet of water, spreading for miles, the home of thousands of wild fowl."/>
    <m/>
    <s v="Dreamtime"/>
    <x v="5"/>
    <x v="47"/>
    <s v="-29.80864286975867"/>
    <n v="147.321425002133"/>
    <x v="0"/>
    <x v="0"/>
    <x v="2"/>
    <x v="2"/>
    <x v="7"/>
    <x v="0"/>
    <x v="0"/>
  </r>
  <r>
    <s v="048"/>
    <s v="Bourke Shire Aboriginal Heritage Study"/>
    <s v="Ozarch EHM"/>
    <m/>
    <m/>
    <n v="2019"/>
    <n v="37"/>
    <s v="Zotero"/>
    <s v="the Dinigada group centred on Ledknapper Tank extending north to Boneda."/>
    <m/>
    <s v="Unknown / pre-colonial"/>
    <x v="6"/>
    <x v="53"/>
    <s v="-29.551186345450695"/>
    <s v="146.30804237397516"/>
    <x v="0"/>
    <x v="0"/>
    <x v="2"/>
    <x v="4"/>
    <x v="10"/>
    <x v="0"/>
    <x v="0"/>
  </r>
  <r>
    <s v="173"/>
    <s v="The Two Worlds of Jimmie Barker"/>
    <s v="Mathews"/>
    <s v="Janet"/>
    <m/>
    <n v="1988"/>
    <n v="126"/>
    <s v="Book"/>
    <s v="There was another tree with special associations; this was at Little Bend, not far from the Mission. It was large and had very smooth trunk. It was said that the witch doctors held their secret meetings there and that the hollow part of the trunk contained human bones and various belongings of the gubi, or clever men. It seemed odd that the tree appeared to have been burnt near the lower branches and in the centre of the trunk. The fire had not damaged the outside part of the tree in anyway, and the burnt part never healed although the remainder was extremely healthy."/>
    <s v="Coordinates for the Brewarrina Mission used as the reference location"/>
    <s v="Unknown / pre-colonial"/>
    <x v="6"/>
    <x v="54"/>
    <s v="-29.980354969068884"/>
    <s v="146.96675182195125"/>
    <x v="0"/>
    <x v="0"/>
    <x v="2"/>
    <x v="2"/>
    <x v="7"/>
    <x v="0"/>
    <x v="0"/>
  </r>
  <r>
    <s v="057"/>
    <s v="Goodbye Riverbank"/>
    <s v="Žagar"/>
    <s v="Cilka"/>
    <m/>
    <n v="2000"/>
    <n v="8"/>
    <s v="Zotero"/>
    <s v="My father worked at Lanilo station near Camborah as a station hand and boundary rider looking after stock."/>
    <s v="Oral account from Albert Walford"/>
    <s v="1890-1915"/>
    <x v="0"/>
    <x v="55"/>
    <s v="-29.612148998436144"/>
    <s v="147.8632250298351"/>
    <x v="0"/>
    <x v="0"/>
    <x v="3"/>
    <x v="0"/>
    <x v="2"/>
    <x v="0"/>
    <x v="0"/>
  </r>
  <r>
    <s v="284"/>
    <s v="Walgett."/>
    <s v="Unknown"/>
    <s v="Unknown"/>
    <s v="The Maitland Mercury"/>
    <n v="1874"/>
    <n v="3"/>
    <s v="Zotero"/>
    <s v="Tues 16th June 1874_x000a_Constable Chadwick arrested a blackfellow, under warrant, last week, charging him with absconding from his hired service &quot; Billy Murray,&quot; it appears, had engaged to go down the country as drover with one Jerome Walford, and, after being a fortnight on the road, &quot; sloped&quot; back with a horse, saddle, and_x000a_bridle, which he took and left at Angledool-the station the cattle had started from. On Walford's return to Walgett, he took out a warrant for the &quot;darkey,&quot; whom constable Chadwick found shepherding at Llanillo station. "/>
    <m/>
    <n v="1874"/>
    <x v="4"/>
    <x v="55"/>
    <s v="-29.612148998436144"/>
    <s v="147.8632250298351"/>
    <x v="0"/>
    <x v="0"/>
    <x v="3"/>
    <x v="0"/>
    <x v="2"/>
    <x v="0"/>
    <x v="0"/>
  </r>
  <r>
    <s v="058"/>
    <s v="Goodbye Riverbank"/>
    <s v="Žagar"/>
    <s v="Cilka"/>
    <m/>
    <n v="2000"/>
    <n v="7"/>
    <s v="Zotero"/>
    <s v="Aborigines believe that Guli Gurinai, our water spirit, lives in a water hole in the Barwon river near Gingie Mission. During the big drought Guli Gurinai created the waterways on our routes from Gingie through Cumborah and to Narran Lakes where Aborigines met other tribes regularly for trades and religious purposes."/>
    <s v="Oral account from Roy Barker"/>
    <s v="Dreamtime"/>
    <x v="5"/>
    <x v="47"/>
    <s v="-29.80864286975867"/>
    <n v="147.321425002133"/>
    <x v="0"/>
    <x v="0"/>
    <x v="2"/>
    <x v="2"/>
    <x v="7"/>
    <x v="0"/>
    <x v="0"/>
  </r>
  <r>
    <s v="049"/>
    <s v="Bourke Shire Aboriginal Heritage Study"/>
    <s v="Ozarch EHM"/>
    <m/>
    <m/>
    <n v="2019"/>
    <n v="41"/>
    <s v="Zotero"/>
    <s v="Only two small children, a girl and a boy were reported to have escaped the carnage and were later taken to Milroy Station, a large pastoral property. A number of recollections by white settlers are some of few records of the event that survive. In the 1970s skeletal material with bullet holes could still be found after rain had disturbed the soil (Kamien 1978: 15)"/>
    <m/>
    <n v="1859"/>
    <x v="8"/>
    <x v="56"/>
    <s v=" -29.59557"/>
    <s v="146.691"/>
    <x v="1"/>
    <x v="0"/>
    <x v="4"/>
    <x v="1"/>
    <x v="3"/>
    <x v="0"/>
    <x v="0"/>
  </r>
  <r>
    <s v="175"/>
    <s v="The Two Worlds of Jimmie Barker"/>
    <s v="Mathews"/>
    <s v="Janet"/>
    <m/>
    <n v="1988"/>
    <n v="62"/>
    <s v="Book"/>
    <s v="Some of the Ngemba people believed that Baiamee stayed for a while with the Aborigines and showed them how to construct the fisheries at Brewarrina. It was at this time he made the footprints near the yards.The footprints of Baiamee have also been seen at Cobar, Gundabooka Mountain, Byrock, and near Narran Lake. The dogs were believed to have camped beside the Narran Lake when returning to Baiamee..."/>
    <m/>
    <s v="Dreamtime"/>
    <x v="5"/>
    <x v="47"/>
    <s v="-29.80864286975867"/>
    <n v="147.321425002133"/>
    <x v="0"/>
    <x v="0"/>
    <x v="2"/>
    <x v="2"/>
    <x v="7"/>
    <x v="0"/>
    <x v="0"/>
  </r>
  <r>
    <s v="016"/>
    <s v="Aboriginal Fisheries of the Darling-Barwon Rivers"/>
    <s v="Dargin"/>
    <s v="Peter"/>
    <m/>
    <n v="1976"/>
    <n v="66"/>
    <s v="Book"/>
    <s v="In the Barwon River there is a deep hole, The Five Mile, known to the Ngemba as Mirrigunna. Very few peope swim or fish there, and certainly, nobody remains after sunset even though the fish are biting. It is said that people will get sick if they stay too long at Mirragunna...The late Mrs. Doreen Wright has told of one incident - 'Well, old Captain White of the paddle boat the Wandering Jew, he used to do this river a lot. He got stuck right in the middle of MIrrigunna, the deep waterhole. The boat couldn't move. There was a sort of power holding it fast. There was an old King on board, one of the natives from here, King Clyde. He dived overboard and swam underneath the boat. He made the boat free. He reckoned it was Warwai, that's a big snake in the river, that had hold of the boat. It was only a clever old man like him who could let that snake let go'."/>
    <m/>
    <s v="Unknown / early colonial"/>
    <x v="3"/>
    <x v="57"/>
    <m/>
    <m/>
    <x v="2"/>
    <x v="3"/>
    <x v="2"/>
    <x v="2"/>
    <x v="7"/>
    <x v="0"/>
    <x v="0"/>
  </r>
  <r>
    <s v="017"/>
    <s v="Aboriginal Fisheries of the Darling-Barwon Rivers"/>
    <s v="Dargin"/>
    <s v="Peter"/>
    <m/>
    <n v="1976"/>
    <n v="51"/>
    <s v="Book"/>
    <s v="In many cases the stockmen, not heeding the Governor's warning, took Aboriginal women and forced them to live with them. This is what happened at 'Walcha Hut' on the Lawson's run [Moheni], and even though warned by the Aborigines to release the women, the stockmen refused. The laws of the tribe were strict; both were killed and the bodies mutilated before the hut and yards were fired. Several cattle were speared and one was roasted in a victory feast. The smoke attracted stockmen, who charged and drove the mob towards the Barwon River where they were shot. It has been reported that 30 men, women and children were shot and that skulls showing ball marks were visible for years after in the area."/>
    <s v="Possibly spelt Mohenia _x000a__x000a_Coordinates are for Mohenia"/>
    <s v="Unknown / early colonial"/>
    <x v="3"/>
    <x v="58"/>
    <s v="-29.9213333333"/>
    <s v="146.60975"/>
    <x v="1"/>
    <x v="0"/>
    <x v="4"/>
    <x v="1"/>
    <x v="3"/>
    <x v="0"/>
    <x v="0"/>
  </r>
  <r>
    <s v="067"/>
    <s v="Journal of an expediation into the interior of tropical Australia, in search of a route from Sydney to the Gulf of Carpentaria"/>
    <s v="Mitchell"/>
    <s v="Thomas Livingstone"/>
    <m/>
    <n v="1848"/>
    <n v="82"/>
    <s v="Zotero"/>
    <s v="As we approached these  springs, I saw some natives running off, and I sent  one of the guides after them to say we should do them  no harm, and beg them to stop, but he could not  overtake them."/>
    <s v=""/>
    <n v="1846"/>
    <x v="7"/>
    <x v="11"/>
    <m/>
    <m/>
    <x v="2"/>
    <x v="3"/>
    <x v="2"/>
    <x v="0"/>
    <x v="1"/>
    <x v="0"/>
    <x v="0"/>
  </r>
  <r>
    <s v="156"/>
    <s v="The Euahlayi Tribe: A study of Aboriginal life in Australia"/>
    <s v="Langloh Parker"/>
    <s v="Katie"/>
    <m/>
    <n v="1905"/>
    <n v="139"/>
    <s v="Zotero"/>
    <s v="They were called Bungebah, and were killed as devils by an alien tribe somewhere between Noorahwahgean and Gooroolay."/>
    <m/>
    <s v="Dreamtime"/>
    <x v="5"/>
    <x v="59"/>
    <m/>
    <m/>
    <x v="2"/>
    <x v="3"/>
    <x v="2"/>
    <x v="2"/>
    <x v="7"/>
    <x v="0"/>
    <x v="0"/>
  </r>
  <r>
    <s v="174"/>
    <s v="The Two Worlds of Jimmie Barker"/>
    <s v="Mathews"/>
    <s v="Janet"/>
    <m/>
    <n v="1988"/>
    <n v="4"/>
    <s v="Book"/>
    <s v="Mundiwa was called Diraluda in Muruwai and was forty five miles from Brewarrina. It was a camping reserve for Aborigines…"/>
    <m/>
    <s v="Unknown / pre-colonial"/>
    <x v="6"/>
    <x v="60"/>
    <s v="-29.60318"/>
    <s v=" 146.61976"/>
    <x v="1"/>
    <x v="0"/>
    <x v="2"/>
    <x v="0"/>
    <x v="0"/>
    <x v="0"/>
    <x v="0"/>
  </r>
  <r>
    <s v="004"/>
    <s v="Aboriginal Bora held at Gundabloui in 1894"/>
    <s v="Mathews"/>
    <s v="Robert Hamilton"/>
    <m/>
    <n v="1894"/>
    <n v="98"/>
    <s v="Zotero"/>
    <s v="...took them away about six miles to place called Mungaroo."/>
    <m/>
    <n v="1894"/>
    <x v="0"/>
    <x v="61"/>
    <m/>
    <m/>
    <x v="2"/>
    <x v="3"/>
    <x v="2"/>
    <x v="4"/>
    <x v="10"/>
    <x v="0"/>
    <x v="0"/>
  </r>
  <r>
    <s v="157"/>
    <s v="The Euahlayi Tribe: A study of Aboriginal life in Australia"/>
    <s v="Langloh Parker"/>
    <s v="Katie"/>
    <m/>
    <n v="1905"/>
    <n v="103"/>
    <s v="Zotero"/>
    <s v="At Toulby and elsewhere are mud springs… The first of those they made were at Yantabulla, which bears their name to this day."/>
    <s v="Coordinates are for Toulby Station"/>
    <s v="Dreamtime"/>
    <x v="5"/>
    <x v="62"/>
    <s v="-29.043156444734976"/>
    <s v="146.9843650961434"/>
    <x v="0"/>
    <x v="0"/>
    <x v="2"/>
    <x v="2"/>
    <x v="7"/>
    <x v="0"/>
    <x v="0"/>
  </r>
  <r>
    <s v="177"/>
    <s v="The Two Worlds of Jimmie Barker"/>
    <s v="Mathews"/>
    <s v="Janet"/>
    <m/>
    <n v="1988"/>
    <n v="62"/>
    <s v="Book"/>
    <s v="Between Cumborah and Walgett it is believed that Baiamee lit a large fire and cooked a giant carpet snake as a feast for the people. The burnt area is still visible."/>
    <m/>
    <s v="Dreamtime"/>
    <x v="5"/>
    <x v="63"/>
    <s v="-30.02417130158875"/>
    <s v="148.1220195039572"/>
    <x v="0"/>
    <x v="0"/>
    <x v="2"/>
    <x v="2"/>
    <x v="7"/>
    <x v="0"/>
    <x v="0"/>
  </r>
  <r>
    <s v="182"/>
    <s v="Weilmoringle: A unique bi-cultural community"/>
    <s v="Gill"/>
    <s v="Merri"/>
    <m/>
    <n v="1996"/>
    <m/>
    <s v="Noel Butlin_x000a_ARCHIVES reference DU125.M83 G56 1996"/>
    <s v="The Muruwari people had many reasons to believe that the Mundaguddah or Rainbow Serpent lived in the Weilmoringle waterhole."/>
    <m/>
    <s v="Dreamtime"/>
    <x v="5"/>
    <x v="64"/>
    <m/>
    <m/>
    <x v="2"/>
    <x v="3"/>
    <x v="2"/>
    <x v="2"/>
    <x v="7"/>
    <x v="0"/>
    <x v="0"/>
  </r>
  <r>
    <s v="037"/>
    <s v="Australian Legendary Tales"/>
    <s v="Langloh Parker"/>
    <s v="Katie"/>
    <m/>
    <n v="1895"/>
    <n v="37"/>
    <s v="Zotero"/>
    <s v="Dirangibirrah is between Brewarrina and Widda Murtee, and there the dayoorls piled themselves up into a mountain..._x000a_"/>
    <m/>
    <s v="Dreamtime"/>
    <x v="5"/>
    <x v="65"/>
    <m/>
    <m/>
    <x v="2"/>
    <x v="3"/>
    <x v="2"/>
    <x v="2"/>
    <x v="7"/>
    <x v="0"/>
    <x v="0"/>
  </r>
  <r>
    <s v="132"/>
    <s v="Robberies with Arms or Violence"/>
    <s v="Unknown"/>
    <s v="Unknown"/>
    <s v="New South Wales Police Gazette and Weekly Record of Crime"/>
    <n v="1865"/>
    <n v="148"/>
    <s v="Zotero"/>
    <s v="Wed 19th April 1865_x000a_Sergeant Cleary, Constable Byrne, and a black tracker, traced the offenders to Narran Lake, about two hundred miles from Bourke, and succeeded in finding Ward's camp in a dense scrub, about a quarter of a mile from the lake. Ward’s half-caste woman and two children were found in the camp, also, the whole of the stolen property described, and 4 horses."/>
    <m/>
    <n v="1865"/>
    <x v="9"/>
    <x v="47"/>
    <s v="-29.80864286975867"/>
    <n v="147.321425002133"/>
    <x v="0"/>
    <x v="0"/>
    <x v="5"/>
    <x v="0"/>
    <x v="1"/>
    <x v="0"/>
    <x v="0"/>
  </r>
  <r>
    <s v="062"/>
    <s v="Journal of an expediation into the interior of tropical Australia, in search of a route from Sydney to the Gulf of Carpentaria"/>
    <s v="Mitchell"/>
    <s v="Thomas Livingstone"/>
    <m/>
    <n v="1848"/>
    <n v="77"/>
    <s v="Zotero"/>
    <s v="Water was also to be obtained  at a distance of only seven miles beyond the Barwan  there at the &quot;Morella Ridges,” to which the natives  were in the habit of resorting at certain seasons, by  a path of their own, to gather a fruit of which they  were very fond, named by them &quot;Moguile,” and  which I had previously ascertained to be that  formerly discovered by me, and named by Dr Lindley Capparis Mitchellii"/>
    <s v="Spelt Morella by Mitchell"/>
    <n v="1846"/>
    <x v="7"/>
    <x v="46"/>
    <m/>
    <m/>
    <x v="2"/>
    <x v="3"/>
    <x v="2"/>
    <x v="0"/>
    <x v="1"/>
    <x v="0"/>
    <x v="0"/>
  </r>
  <r>
    <s v="039"/>
    <s v="Bourke  [From our Correspondent.] April 20 - Bushranging in the Far North-West"/>
    <s v="Unknown"/>
    <s v="Unknown"/>
    <s v="The Empire"/>
    <n v="1865"/>
    <n v="5"/>
    <s v="Zotero"/>
    <s v="Tues 2nd May 1865_x000a_On the 26th of last month the station of Macleay, Little, and Co., on the Culgoa, about 100 miles from Bourke, was stuck up by four armed men...They took up their tracks up the Brie and across the country to the Bokarra, from thence to the Narran...The police took up the tracks next morning, which led them right into the Narran Lake...Mrs. Frederick Ward, alias Captain Thunderbolt's half-cast gin and pickaninnies were busy planting the stolen property...Sergeant Cleary succeeded in tracking him to his hiding place, near the notorious Red Town station on the Narran."/>
    <m/>
    <n v="1865"/>
    <x v="9"/>
    <x v="47"/>
    <s v="-29.80864286975867"/>
    <n v="147.321425002133"/>
    <x v="0"/>
    <x v="0"/>
    <x v="5"/>
    <x v="4"/>
    <x v="10"/>
    <x v="0"/>
    <x v="0"/>
  </r>
  <r>
    <s v="118"/>
    <s v="Mud, Mussels and Toes"/>
    <s v="Martin"/>
    <s v="Sarah"/>
    <m/>
    <n v="1979"/>
    <n v="178"/>
    <s v="Zotero"/>
    <s v="Western Midden 1 - This is the only major place that was found on the western side of Lake Narran. According to the author's description it sounds more like a hearth than a midden."/>
    <s v="Refer to map on pg 179"/>
    <s v="Unknown / pre-colonial"/>
    <x v="6"/>
    <x v="47"/>
    <s v="-29.80864286975867"/>
    <n v="147.321425002133"/>
    <x v="0"/>
    <x v="0"/>
    <x v="2"/>
    <x v="3"/>
    <x v="16"/>
    <x v="0"/>
    <x v="0"/>
  </r>
  <r>
    <s v="119"/>
    <s v="Mud, Mussels and Toes"/>
    <s v="Martin"/>
    <s v="Sarah"/>
    <m/>
    <n v="1979"/>
    <n v="181"/>
    <s v="Zotero"/>
    <s v="A scatter of stone artifacts was found on a sandy loam area 1 km north of WM1 ."/>
    <m/>
    <s v="Unknown / pre-colonial"/>
    <x v="6"/>
    <x v="47"/>
    <s v="-29.80864286975867"/>
    <n v="147.321425002133"/>
    <x v="0"/>
    <x v="0"/>
    <x v="2"/>
    <x v="3"/>
    <x v="15"/>
    <x v="0"/>
    <x v="0"/>
  </r>
  <r>
    <s v="120"/>
    <s v="Mud, Mussels and Toes"/>
    <s v="Martin"/>
    <s v="Sarah"/>
    <m/>
    <n v="1979"/>
    <n v="182"/>
    <s v="Zotero"/>
    <s v="A large grindstone, a large core and some primary flakes were found on small sand dunes 3 km south of WM1 ."/>
    <m/>
    <s v="Unknown / pre-colonial"/>
    <x v="6"/>
    <x v="47"/>
    <s v="-29.80864286975867"/>
    <n v="147.321425002133"/>
    <x v="0"/>
    <x v="0"/>
    <x v="2"/>
    <x v="3"/>
    <x v="12"/>
    <x v="0"/>
    <x v="0"/>
  </r>
  <r>
    <s v="121"/>
    <s v="Mud, Mussels and Toes"/>
    <s v="Martin"/>
    <s v="Sarah"/>
    <m/>
    <n v="1979"/>
    <n v="182"/>
    <s v="Zotero"/>
    <s v="Airstrip Middens 1, 2 and 4. This is a series of four main middens separated by areas that have very little archaeological evidence. Each one is a discrete unit but they all run parallel to the lake shoreline."/>
    <s v="Refer to map on pg 183"/>
    <s v="Unknown / pre-colonial"/>
    <x v="6"/>
    <x v="47"/>
    <s v="-29.80864286975867"/>
    <n v="147.321425002133"/>
    <x v="0"/>
    <x v="0"/>
    <x v="2"/>
    <x v="3"/>
    <x v="14"/>
    <x v="0"/>
    <x v="0"/>
  </r>
  <r>
    <s v="122"/>
    <s v="Mud, Mussels and Toes"/>
    <s v="Martin"/>
    <s v="Sarah"/>
    <m/>
    <n v="1979"/>
    <n v="188"/>
    <s v="Zotero"/>
    <s v="Kia Ora Middens (K1 and K2). _x000a_K1 - This place is not eroded and shell, bone, ash and charcoal are preserved._x000a_K2 - K2 is an extension of K1 which is separated by a watercourse. It is smaller and shallower than K1 and gradually becomes smaller towards the south which is getting further away from the deeper parts of the lake."/>
    <s v="Refer to map on pg 183"/>
    <s v="Unknown / pre-colonial"/>
    <x v="6"/>
    <x v="47"/>
    <s v="-29.80864286975867"/>
    <n v="147.321425002133"/>
    <x v="0"/>
    <x v="0"/>
    <x v="2"/>
    <x v="3"/>
    <x v="14"/>
    <x v="0"/>
    <x v="0"/>
  </r>
  <r>
    <s v="123"/>
    <s v="Mud, Mussels and Toes"/>
    <s v="Martin"/>
    <s v="Sarah"/>
    <m/>
    <n v="1979"/>
    <n v="189"/>
    <s v="Zotero"/>
    <s v="Gate Sample - This place differs from all the others in this category. It consists of a small scatter of stone artifacts lying on a slightly scalded area. There are no organic remains and this place is not stratified."/>
    <s v="Refer to map on pg 183"/>
    <s v="Unknown / pre-colonial"/>
    <x v="6"/>
    <x v="47"/>
    <s v="-29.80864286975867"/>
    <n v="147.321425002133"/>
    <x v="0"/>
    <x v="0"/>
    <x v="2"/>
    <x v="3"/>
    <x v="15"/>
    <x v="0"/>
    <x v="0"/>
  </r>
  <r>
    <s v="124"/>
    <s v="Mud, Mussels and Toes"/>
    <s v="Martin"/>
    <s v="Sarah"/>
    <m/>
    <n v="1979"/>
    <n v="190"/>
    <s v="Zotero"/>
    <s v="I. Narran River - Three areas each about½ km.long were examined along the Narran River. The river banks are scattered with stone artifacts but the density, is many times lower than at any of the definite places at Narran Lake."/>
    <m/>
    <s v="Unknown / pre-colonial"/>
    <x v="6"/>
    <x v="47"/>
    <s v="-29.80864286975867"/>
    <n v="147.321425002133"/>
    <x v="0"/>
    <x v="0"/>
    <x v="2"/>
    <x v="3"/>
    <x v="15"/>
    <x v="0"/>
    <x v="0"/>
  </r>
  <r>
    <s v="125"/>
    <s v="Mud, Mussels and Toes"/>
    <s v="Martin"/>
    <s v="Sarah"/>
    <m/>
    <n v="1979"/>
    <n v="201"/>
    <s v=" Zotero"/>
    <s v="A large scatter of stone artifacts was found about 1 1an east of the Narran River oppoplace the property called 'Narran Plains'. The place is at the southern end of a large sandy area which is about½ 1an by 3 km, and appears to be an old river course."/>
    <m/>
    <s v="Unknown / pre-colonial"/>
    <x v="6"/>
    <x v="66"/>
    <s v="-29.64964"/>
    <s v="147.37701"/>
    <x v="1"/>
    <x v="0"/>
    <x v="2"/>
    <x v="3"/>
    <x v="15"/>
    <x v="0"/>
    <x v="0"/>
  </r>
  <r>
    <s v="285"/>
    <s v="The Hon. James White. Australia's King of the Turf. "/>
    <s v="Unknown"/>
    <s v="Unknown"/>
    <s v="The Australian Star"/>
    <n v="1890"/>
    <n v="5"/>
    <s v="Zotero"/>
    <s v="Sat 8th March 1890_x000a_About four or five years later he took up the Narran Lake Run, a fine extent of country about 25 miles back from the Barwon station. Although the aboriginals were very numerous in some parts of the country, and in some parts of the_x000a_colony in those early days they very often showed themselves very reactive and turbulent, they never gave Mr. White or his father any trouble, a fact which, taken with others of the kind, seems to prove what has been often alleged, that where the blacks were fairly and justly treated by the white intruders on their hunting-grounds they were reasonably peaceful and undemonstrative. "/>
    <m/>
    <n v="1849"/>
    <x v="7"/>
    <x v="47"/>
    <s v="-29.80864286975867"/>
    <n v="147.321425002133"/>
    <x v="0"/>
    <x v="0"/>
    <x v="2"/>
    <x v="0"/>
    <x v="1"/>
    <x v="0"/>
    <x v="0"/>
  </r>
  <r>
    <s v="287"/>
    <s v="The Sketcher. National Police Incidents. -I. Reminiscences of the early sixties"/>
    <s v="Unknown"/>
    <s v="Unknown"/>
    <s v="The Queenslander"/>
    <n v="1899"/>
    <n v="1023"/>
    <s v="Zotero"/>
    <s v="Sat 3 June 1899_x000a_This uninvited and unwelcome company of original proprietors of the country_x000a_had apparently by preconcerted arrangement assembled from the northwest, and, being naturally keen sportsmen, had amused themselves by hunting and killing the cattle, and alarming the occupants of the neighbouring stations situated on the Narran, Bokhara, and Balandoon rivers, also on tributaries of the Balonne."/>
    <m/>
    <n v="1860"/>
    <x v="9"/>
    <x v="9"/>
    <s v="-29.240390243887113"/>
    <s v="147.79066662283174"/>
    <x v="0"/>
    <x v="0"/>
    <x v="5"/>
    <x v="3"/>
    <x v="17"/>
    <x v="0"/>
    <x v="0"/>
  </r>
  <r>
    <s v="288"/>
    <s v="New Notices. Wednesday, February 12."/>
    <s v="Unknown"/>
    <s v="Unknown"/>
    <s v="The Sydney Morning Herald"/>
    <n v="1873"/>
    <n v="3"/>
    <s v="Zotero"/>
    <s v="Wed 12th February 1873_x000a_Mr. Burns to ask the Colonial Secretary,- Is it true that no blankets were distributed to the aborigines of the districts of Culgoa and Narran during last winter and if so, why?"/>
    <m/>
    <n v="1872"/>
    <x v="4"/>
    <x v="9"/>
    <s v="-29.240390243887113"/>
    <s v="147.79066662283174"/>
    <x v="0"/>
    <x v="0"/>
    <x v="0"/>
    <x v="0"/>
    <x v="0"/>
    <x v="0"/>
    <x v="0"/>
  </r>
  <r>
    <s v="290"/>
    <s v="Parliament of New South Wales. Thursday February 13, 1873"/>
    <s v="Unknown"/>
    <s v="Unknown"/>
    <s v="The Newcastle Chronicle"/>
    <n v="1873"/>
    <n v="4"/>
    <s v="Zotero"/>
    <s v="Tues 18 February 1873_x000a_That blankets for the aborigines of Culgoa and Narran were consigned to the care of the Police Magistrate of Murrurundi, on the 15th April, 1872."/>
    <m/>
    <n v="1872"/>
    <x v="4"/>
    <x v="9"/>
    <s v="-29.240390243887113"/>
    <s v="147.79066662283174"/>
    <x v="0"/>
    <x v="0"/>
    <x v="0"/>
    <x v="0"/>
    <x v="0"/>
    <x v="0"/>
    <x v="0"/>
  </r>
  <r>
    <s v="069"/>
    <s v="Journal of an expediation into the interior of tropical Australia, in search of a route from Sydney to the Gulf of Carpentaria"/>
    <s v="Mitchell"/>
    <s v="Thomas Livingstone"/>
    <m/>
    <n v="1848"/>
    <n v="90"/>
    <s v="Zotero"/>
    <s v="We had followed  well-beaten paths of natives during the whole of this  day’s ride, and most anxious were my guides and I  to see them ; but they avoided us."/>
    <m/>
    <n v="1846"/>
    <x v="7"/>
    <x v="9"/>
    <s v="-29.240390243887113"/>
    <s v="147.79066662283174"/>
    <x v="0"/>
    <x v="0"/>
    <x v="2"/>
    <x v="0"/>
    <x v="1"/>
    <x v="0"/>
    <x v="0"/>
  </r>
  <r>
    <s v="073"/>
    <s v="Journal of an expediation into the interior of tropical Australia, in search of a route from Sydney to the Gulf of Carpentaria"/>
    <s v="Mitchell"/>
    <s v="Thomas Livingstone"/>
    <m/>
    <n v="1848"/>
    <n v="98"/>
    <s v="Zotero"/>
    <s v="The human inhabitants were few, and as invisible  as other animals in these forests—the prints of  whose feet were also plain in the soft smooth surface."/>
    <m/>
    <n v="1846"/>
    <x v="7"/>
    <x v="9"/>
    <s v="-29.240390243887113"/>
    <s v="147.79066662283174"/>
    <x v="0"/>
    <x v="0"/>
    <x v="2"/>
    <x v="0"/>
    <x v="1"/>
    <x v="0"/>
    <x v="0"/>
  </r>
  <r>
    <s v="074"/>
    <s v="Journal of an expediation into the interior of tropical Australia, in search of a route from Sydney to the Gulf of Carpentaria"/>
    <s v="Mitchell"/>
    <s v="Thomas Livingstone"/>
    <m/>
    <n v="1848"/>
    <n v="103"/>
    <s v="Zotero"/>
    <s v="I crossed a native camp  where the newly deserted fires still smoked. &quot;We saw  one man at a distance, who did not mind us much;…"/>
    <m/>
    <n v="1846"/>
    <x v="7"/>
    <x v="9"/>
    <s v="-29.240390243887113"/>
    <s v="147.79066662283174"/>
    <x v="0"/>
    <x v="0"/>
    <x v="2"/>
    <x v="0"/>
    <x v="1"/>
    <x v="0"/>
    <x v="0"/>
  </r>
  <r>
    <s v="138"/>
    <s v="The Bora Grounds"/>
    <s v="Black"/>
    <s v="Lindsay"/>
    <m/>
    <n v="1942"/>
    <n v="25"/>
    <s v="Zotero"/>
    <s v="Map of Bora Grounds from Mungindi/Gunnedah/Cootamundra/Cobar_x000a__x000a_No. 17: Narran River. Mrs. K. L. Parker, in the Euahlayi Tribe, described carvings on trees. This is the farthest north-west any carved trees have been recorded."/>
    <s v="GNR - Description: A watercourse about 168 km long. Starting in Qld at the Ballonne River about 42 km NNE of Angledool (NSW) flowing in a SW by S direction and draining into Narran Lake (NSW)"/>
    <s v="Unknown / pre-colonial"/>
    <x v="6"/>
    <x v="9"/>
    <s v="-29.240390243887113"/>
    <s v="147.79066662283174"/>
    <x v="0"/>
    <x v="0"/>
    <x v="2"/>
    <x v="2"/>
    <x v="4"/>
    <x v="4"/>
    <x v="0"/>
  </r>
  <r>
    <s v="143"/>
    <s v="The Dendroglyphs or &quot;Carved Trees&quot; of New South Wales"/>
    <s v="Etherridge"/>
    <s v="R."/>
    <m/>
    <n v="1918"/>
    <n v="80"/>
    <s v="Zotero"/>
    <s v="73. Narran River , North-Central New South Wales - …Mrs K.L.Parker briefly refers to &quot;carvings on trees&quot;…"/>
    <m/>
    <s v="Unknown / pre-colonial"/>
    <x v="6"/>
    <x v="9"/>
    <s v="-29.240390243887113"/>
    <s v="147.79066662283174"/>
    <x v="0"/>
    <x v="0"/>
    <x v="2"/>
    <x v="2"/>
    <x v="18"/>
    <x v="0"/>
    <x v="0"/>
  </r>
  <r>
    <s v="144"/>
    <s v="The Dendroglyphs or &quot;Carved Trees&quot; of New South Wales"/>
    <s v="Etherridge"/>
    <s v="R."/>
    <m/>
    <n v="1918"/>
    <n v="94"/>
    <s v="Zotero"/>
    <s v="Even in New South Wales, on the Narran River, where there are no taphoglyphs, 'a few painted upright ports' marked a grave&quot;."/>
    <m/>
    <s v="Unknown / pre-colonial"/>
    <x v="6"/>
    <x v="9"/>
    <s v="-29.240390243887113"/>
    <s v="147.79066662283174"/>
    <x v="0"/>
    <x v="0"/>
    <x v="2"/>
    <x v="2"/>
    <x v="18"/>
    <x v="5"/>
    <x v="0"/>
  </r>
  <r>
    <s v="155"/>
    <s v="The Euahlayi Tribe: A study of Aboriginal life in Australia"/>
    <s v="Langloh Parker"/>
    <s v="Katie"/>
    <m/>
    <n v="1905"/>
    <n v="94"/>
    <s v="Zotero"/>
    <s v="The graves in some parts of Australia are marked by carved trees; only a few painted upright posts marked them on the Narran."/>
    <m/>
    <s v="Unknown / pre-colonial"/>
    <x v="6"/>
    <x v="9"/>
    <s v="-29.240390243887113"/>
    <s v="147.79066662283174"/>
    <x v="0"/>
    <x v="0"/>
    <x v="2"/>
    <x v="2"/>
    <x v="6"/>
    <x v="4"/>
    <x v="0"/>
  </r>
  <r>
    <s v="082"/>
    <s v="Journal of an expediation into the interior of tropical Australia, in search of a route from Sydney to the Gulf of Carpentaria"/>
    <s v="Mitchell"/>
    <s v="Thomas Livingstone"/>
    <m/>
    <n v="1848"/>
    <n v="108"/>
    <s v="Zotero"/>
    <s v="We  had crossed several such, and were rather in a  &quot;fix”  with some lagoons, when I perceived several native  children in one of them."/>
    <m/>
    <n v="1846"/>
    <x v="7"/>
    <x v="9"/>
    <s v="-29.240390243887113"/>
    <s v="147.79066662283174"/>
    <x v="0"/>
    <x v="0"/>
    <x v="2"/>
    <x v="0"/>
    <x v="1"/>
    <x v="0"/>
    <x v="0"/>
  </r>
  <r>
    <s v="084"/>
    <s v="Journal of an expediation into the interior of tropical Australia, in search of a route from Sydney to the Gulf of Carpentaria"/>
    <s v="Mitchell"/>
    <s v="Thomas Livingstone"/>
    <m/>
    <n v="1848"/>
    <n v="109"/>
    <s v="Zotero"/>
    <s v="...we saw five gins running off at a great distance  across some open plains, apparently near the river.  The eldest of our guides ran after them, and I requested him to assure them that the white men would  do no harm, and to tell them not to run away. At  length he overtook them. Two appeared to carry  unseemly loads across their backs, dangling under  large opossum-skin cloaks, and it was evident that  these were mummied bodies."/>
    <m/>
    <n v="1846"/>
    <x v="7"/>
    <x v="9"/>
    <s v="-29.240390243887113"/>
    <s v="147.79066662283174"/>
    <x v="0"/>
    <x v="0"/>
    <x v="2"/>
    <x v="0"/>
    <x v="1"/>
    <x v="0"/>
    <x v="0"/>
  </r>
  <r>
    <s v="085"/>
    <s v="Journal of an expediation into the interior of tropical Australia, in search of a route from Sydney to the Gulf of Carpentaria"/>
    <s v="Mitchell"/>
    <s v="Thomas Livingstone"/>
    <m/>
    <n v="1848"/>
    <n v="109"/>
    <s v="Zotero"/>
    <s v="...the shout or scream of little Dicky, a native  child of the Bogan, follower of my camp, first drew  my attention to a black phalanx within the forest, of  natives presenting a front like a battalion."/>
    <m/>
    <n v="1846"/>
    <x v="7"/>
    <x v="9"/>
    <s v="-29.240390243887113"/>
    <s v="147.79066662283174"/>
    <x v="0"/>
    <x v="0"/>
    <x v="2"/>
    <x v="0"/>
    <x v="1"/>
    <x v="0"/>
    <x v="0"/>
  </r>
  <r>
    <s v="086"/>
    <s v="Journal of an expediation into the interior of tropical Australia, in search of a route from Sydney to the Gulf of Carpentaria"/>
    <s v="Mitchell"/>
    <s v="Thomas Livingstone"/>
    <m/>
    <n v="1848"/>
    <n v="111"/>
    <s v="Zotero"/>
    <s v="I saw  seated at a distance, in due form, the tribe to which  they belonged ; and having directed the party to halt,  went up to them. They were seated in three groups;  old men on the right, painted red; old women in  the centre, painted white; and other women and children on the left. The few strong men who  appeared, formed a circle around me, and told me their names as they came up to me."/>
    <m/>
    <n v="1846"/>
    <x v="7"/>
    <x v="9"/>
    <s v="-29.240390243887113"/>
    <s v="147.79066662283174"/>
    <x v="0"/>
    <x v="0"/>
    <x v="2"/>
    <x v="0"/>
    <x v="1"/>
    <x v="0"/>
    <x v="0"/>
  </r>
  <r>
    <s v="075"/>
    <s v="Journal of an expediation into the interior of tropical Australia, in search of a route from Sydney to the Gulf of Carpentaria"/>
    <s v="Mitchell"/>
    <s v="Thomas Livingstone"/>
    <m/>
    <n v="1848"/>
    <n v="103"/>
    <s v="Zotero"/>
    <s v="Crossing the  Narran there, by a beaten track, beside a native  fishing fence…"/>
    <m/>
    <n v="1846"/>
    <x v="7"/>
    <x v="9"/>
    <s v="-29.240390243887113"/>
    <s v="147.79066662283174"/>
    <x v="0"/>
    <x v="0"/>
    <x v="2"/>
    <x v="3"/>
    <x v="8"/>
    <x v="0"/>
    <x v="0"/>
  </r>
  <r>
    <s v="076"/>
    <s v="Journal of an expediation into the interior of tropical Australia, in search of a route from Sydney to the Gulf of Carpentaria"/>
    <s v="Mitchell"/>
    <s v="Thomas Livingstone"/>
    <m/>
    <n v="1848"/>
    <n v="104"/>
    <s v="Zotero"/>
    <s v="The natives  seen yesterday had disappeared, having previously  set fire to the grass."/>
    <m/>
    <n v="1846"/>
    <x v="7"/>
    <x v="9"/>
    <s v="-29.240390243887113"/>
    <s v="147.79066662283174"/>
    <x v="0"/>
    <x v="0"/>
    <x v="2"/>
    <x v="3"/>
    <x v="17"/>
    <x v="0"/>
    <x v="0"/>
  </r>
  <r>
    <s v="083"/>
    <s v="Journal of an expediation into the interior of tropical Australia, in search of a route from Sydney to the Gulf of Carpentaria"/>
    <s v="Mitchell"/>
    <s v="Thomas Livingstone"/>
    <m/>
    <n v="1848"/>
    <n v="108"/>
    <s v="Zotero"/>
    <s v="This was by a splendid  piece of water, named by them Tooningora, nearly  on a level with the adjacent plains, and covered with  ducks."/>
    <m/>
    <n v="1846"/>
    <x v="7"/>
    <x v="67"/>
    <m/>
    <m/>
    <x v="2"/>
    <x v="3"/>
    <x v="2"/>
    <x v="4"/>
    <x v="10"/>
    <x v="0"/>
    <x v="0"/>
  </r>
  <r>
    <s v="130"/>
    <s v="Our Diary. - No. IX."/>
    <s v="Unknown"/>
    <s v="Unknown"/>
    <s v="The Yass Courier"/>
    <n v="1881"/>
    <n v="2"/>
    <s v="Zotero"/>
    <s v="Thurs 22nd September 1881_x000a_Travelling onwards,and calling at many stations, we fall in with straggling parties of aborigines ; we see herds of cattle in first-rate order. Passing over an extensive area of country covered with barley-grass, eighteen inches high, and green as a leak, we strike the Narran River; we cross and camp at a large station— the boss and his super (bachelors) kindly invite us in ; we observed many blacks hereabouts, and we were particularly struck by the fact, the juvenile members of the tribe were much lighter in colour than their elder brethren."/>
    <m/>
    <n v="1881"/>
    <x v="2"/>
    <x v="9"/>
    <s v="-29.240390243887113"/>
    <s v="147.79066662283174"/>
    <x v="0"/>
    <x v="0"/>
    <x v="2"/>
    <x v="0"/>
    <x v="2"/>
    <x v="0"/>
    <x v="0"/>
  </r>
  <r>
    <s v="289"/>
    <s v="Linnean Society"/>
    <s v="Unknown"/>
    <s v="Unknown"/>
    <s v="The Sydney Morning Herald"/>
    <n v="1895"/>
    <n v="5"/>
    <s v="Zotero"/>
    <s v="Thurs 1st August 1895_x000a_Mr. Pealey showed a fine ornamented hielaman or aboriginal shield, from the Narran River, New South Wales."/>
    <m/>
    <n v="1895"/>
    <x v="0"/>
    <x v="9"/>
    <s v="-29.240390243887113"/>
    <s v="147.79066662283174"/>
    <x v="0"/>
    <x v="0"/>
    <x v="2"/>
    <x v="4"/>
    <x v="10"/>
    <x v="0"/>
    <x v="0"/>
  </r>
  <r>
    <s v="088"/>
    <s v="Journal of an expediation into the interior of tropical Australia, in search of a route from Sydney to the Gulf of Carpentaria"/>
    <s v="Mitchell"/>
    <s v="Thomas Livingstone"/>
    <m/>
    <n v="1848"/>
    <n v="113"/>
    <s v="Zotero"/>
    <s v="On arriving at the “ Cawan ” we saw two natives fishing in a pond with hoop nets, and Yuranigh went  to ask them about the Culgoa."/>
    <m/>
    <n v="1846"/>
    <x v="7"/>
    <x v="10"/>
    <m/>
    <m/>
    <x v="2"/>
    <x v="3"/>
    <x v="7"/>
    <x v="4"/>
    <x v="10"/>
    <x v="0"/>
    <x v="0"/>
  </r>
  <r>
    <s v="077"/>
    <s v="Journal of an expediation into the interior of tropical Australia, in search of a route from Sydney to the Gulf of Carpentaria"/>
    <s v="Mitchell"/>
    <s v="Thomas Livingstone"/>
    <m/>
    <n v="1848"/>
    <n v="104"/>
    <s v="Zotero"/>
    <s v="A small path along the river margin; marks on  trees, where hollow portions of bark had been taken  off; some ancient, some recent, huts of withered  boughs and dry grass; freshwater muscle shells,  beside the ashes of small fires; and, in some places,  a small heap of pulled grass (Panicum laevinode),  or of the coral plant; such were the slight but  constant indications of the existence of man on the  Narran."/>
    <m/>
    <n v="1846"/>
    <x v="7"/>
    <x v="9"/>
    <s v="-29.240390243887113"/>
    <s v="147.79066662283174"/>
    <x v="0"/>
    <x v="0"/>
    <x v="7"/>
    <x v="0"/>
    <x v="1"/>
    <x v="6"/>
    <x v="2"/>
  </r>
  <r>
    <s v="126"/>
    <s v="Mud, Mussels and Toes"/>
    <s v="Martin"/>
    <s v="Sarah"/>
    <m/>
    <n v="1979"/>
    <n v="200"/>
    <s v=" Zotero"/>
    <s v="Beside the bridge going over the Narran River on the Cumborah Brewarrina road an area of surface soil has been scrapped off by a grader. This has exposed a concentration of stone artifacts including large cores, steep-edged scrapers and straight edged scrapers, as well as many primary flakes."/>
    <m/>
    <s v="Unknown / pre-colonial"/>
    <x v="6"/>
    <x v="9"/>
    <s v="-29.240390243887113"/>
    <s v="147.79066662283174"/>
    <x v="0"/>
    <x v="0"/>
    <x v="2"/>
    <x v="3"/>
    <x v="15"/>
    <x v="0"/>
    <x v="0"/>
  </r>
  <r>
    <s v="286"/>
    <s v="Exploring Expedition under Sir Thomas Mitchell"/>
    <s v="Mitchell"/>
    <s v="Thomas Livingstone"/>
    <m/>
    <n v="1846"/>
    <n v="4"/>
    <s v="The Melbourne Argus"/>
    <s v="Fri 18th December 1846_x000a_Along the banks of the Narran, the grass is of the very best description, Panicum loevinode, and Anthistirium Australis, (barley grass and kangaroo grass of the colonists) growing on plains or in open forests, very available, in every respect, for cattle stations. But the seeds of the Panicum loevinode, constitute the chief food of the natives, who bruize these seeds between stones, and bake the dough into cakes. As I advanced these natives fell back on the main river, where the assembled body received our party very kindly."/>
    <m/>
    <n v="1846"/>
    <x v="7"/>
    <x v="9"/>
    <s v="-29.240390243887113"/>
    <s v="147.79066662283174"/>
    <x v="0"/>
    <x v="0"/>
    <x v="7"/>
    <x v="3"/>
    <x v="17"/>
    <x v="0"/>
    <x v="0"/>
  </r>
  <r>
    <s v="072"/>
    <s v="Journal of an expediation into the interior of tropical Australia, in search of a route from Sydney to the Gulf of Carpentaria"/>
    <s v="Mitchell"/>
    <s v="Thomas Livingstone"/>
    <m/>
    <n v="1848"/>
    <n v="98"/>
    <s v="Zotero"/>
    <s v="Here the poor natives had been very industrious, as was evident from heaps of the grass  Panicum laevinode, and of the same red-stalked coral- like plant, also mentioned as having been observed in  similar heaps, on the banks of the Darling, during  my journey of 1835 (vol. i. p. 238)."/>
    <m/>
    <n v="1846"/>
    <x v="7"/>
    <x v="9"/>
    <s v="-29.240390243887113"/>
    <s v="147.79066662283174"/>
    <x v="0"/>
    <x v="0"/>
    <x v="7"/>
    <x v="3"/>
    <x v="19"/>
    <x v="0"/>
    <x v="0"/>
  </r>
  <r>
    <s v="078"/>
    <s v="Journal of an expediation into the interior of tropical Australia, in search of a route from Sydney to the Gulf of Carpentaria"/>
    <s v="Mitchell"/>
    <s v="Thomas Livingstone"/>
    <m/>
    <n v="1848"/>
    <n v="104"/>
    <s v="Zotero"/>
    <s v="Ducks, which were rather numerous, and emus (coming to drink), probably constituted their chief food, as nets to ensnare both  these kinds of birds, were found about their huts."/>
    <m/>
    <n v="1846"/>
    <x v="7"/>
    <x v="9"/>
    <s v="-29.240390243887113"/>
    <s v="147.79066662283174"/>
    <x v="0"/>
    <x v="0"/>
    <x v="7"/>
    <x v="3"/>
    <x v="17"/>
    <x v="0"/>
    <x v="0"/>
  </r>
  <r>
    <s v="080"/>
    <s v="Journal of an expediation into the interior of tropical Australia, in search of a route from Sydney to the Gulf of Carpentaria"/>
    <s v="Mitchell"/>
    <s v="Thomas Livingstone"/>
    <m/>
    <n v="1848"/>
    <n v="105"/>
    <s v="Zotero"/>
    <s v="Abundance of the stones of  the quandang fruit (Fiisanus acuminatus) lay at an  old fire of the natives, and showed that we were not  far from the northern limit of the great clay basin,  as the quandang bush grows only upon the lowest  slopes of hilly land."/>
    <m/>
    <n v="1846"/>
    <x v="7"/>
    <x v="9"/>
    <s v="-29.240390243887113"/>
    <s v="147.79066662283174"/>
    <x v="0"/>
    <x v="0"/>
    <x v="7"/>
    <x v="3"/>
    <x v="17"/>
    <x v="0"/>
    <x v="0"/>
  </r>
  <r>
    <s v="107"/>
    <s v="Mud, Mussels and Toes"/>
    <s v="Martin"/>
    <s v="Sarah"/>
    <m/>
    <n v="1979"/>
    <n v="107"/>
    <s v="Zotero"/>
    <s v="There were a couple of  survivors who hid in the reeds and escaped to the west during the  night ... many isolated groups of natives were killed on the banks  of the river where they usually camped. Skeletons can be found at  most of the bends of the Barwon River. (Barker, 1972, pp. 124-125)"/>
    <m/>
    <s v="Unknown / early colonial"/>
    <x v="3"/>
    <x v="8"/>
    <s v="-29.956901080577335"/>
    <s v="148.10957831190623"/>
    <x v="0"/>
    <x v="0"/>
    <x v="4"/>
    <x v="1"/>
    <x v="3"/>
    <x v="0"/>
    <x v="0"/>
  </r>
  <r>
    <s v="019"/>
    <s v="Aboriginal Fisheries of the Darling-Barwon Rivers"/>
    <s v="Dargin"/>
    <s v="Peter"/>
    <m/>
    <n v="1976"/>
    <n v="32"/>
    <s v="Book"/>
    <s v="The Ngemba were the nominal owners of Baiame's Ngunnhu which was an extensive structure of several hundred stone traps. Several of these traps were allocated to each family group who were responsible for their use and maintenance"/>
    <s v="Ngemba word for Brewarrina fish traps_x000a__x000a_Coordinates are for the Brewarrina fist traps"/>
    <s v="Dreamtime"/>
    <x v="5"/>
    <x v="3"/>
    <s v="-29.957936648216613"/>
    <s v="146.85623099248141"/>
    <x v="0"/>
    <x v="2"/>
    <x v="2"/>
    <x v="3"/>
    <x v="8"/>
    <x v="0"/>
    <x v="0"/>
  </r>
  <r>
    <s v="060"/>
    <s v="Goodooga George, Pathfinder"/>
    <s v="Unknown"/>
    <s v="Unknown"/>
    <s v="The Sydney Morning Herald"/>
    <n v="1950"/>
    <n v="11"/>
    <s v="Zotero"/>
    <s v="Sat 16th December 1950_x000a_In those days, on the route from Walgett to the Queensland border, you came upon a Community they had named Old Angledool, on the Narran River. A mile farther east you struck New Angledool journey's end. Here &quot;King Combo,&quot; chief of the Noongaburrah tribe, held sway over the aboriginal Community."/>
    <s v="Coordinates are for Angeldool"/>
    <n v="1900"/>
    <x v="1"/>
    <x v="68"/>
    <s v="-29.10743527127758"/>
    <s v="147.9064173803117"/>
    <x v="0"/>
    <x v="0"/>
    <x v="2"/>
    <x v="0"/>
    <x v="0"/>
    <x v="0"/>
    <x v="0"/>
  </r>
  <r>
    <s v="176"/>
    <s v="The Two Worlds of Jimmie Barker"/>
    <s v="Mathews"/>
    <s v="Janet"/>
    <m/>
    <n v="1988"/>
    <n v="1"/>
    <s v="Book"/>
    <s v="…[father] he later managed a small property called Gerara. This property which is now called Old Gerara, is near the Queensland border and not far from Enngonia. "/>
    <m/>
    <n v="1900"/>
    <x v="1"/>
    <x v="69"/>
    <s v="-29.19834"/>
    <s v="146.29335"/>
    <x v="1"/>
    <x v="0"/>
    <x v="3"/>
    <x v="0"/>
    <x v="2"/>
    <x v="0"/>
    <x v="0"/>
  </r>
  <r>
    <s v="158"/>
    <s v="The Two Worlds of Jimmie Barker"/>
    <s v="Mathews"/>
    <s v="Janet"/>
    <m/>
    <n v="1988"/>
    <n v="125"/>
    <s v="Book"/>
    <s v="…there was another occurrence on the northern bank of the Barwon about four miles above the Fisheries…Skeletons can be found at most of the bends of the Barwon River as it moves towards Walgett."/>
    <m/>
    <s v="Unknown / early colonial"/>
    <x v="3"/>
    <x v="8"/>
    <s v="-29.956901080577335"/>
    <s v="148.10957831190623"/>
    <x v="0"/>
    <x v="0"/>
    <x v="4"/>
    <x v="1"/>
    <x v="3"/>
    <x v="0"/>
    <x v="0"/>
  </r>
  <r>
    <s v="292"/>
    <s v="The Brewarrina Aboriginal Mission"/>
    <s v="Gribble"/>
    <s v="John B."/>
    <s v="The Sydney Morning Herald"/>
    <n v="1890"/>
    <n v="9"/>
    <s v="Zotero"/>
    <s v="Mon 15th April 1889_x000a_ I gathered, in conjunction with Mr. Taplin, close on 90 aborigines— men, women, and children—travelling scores of miles on foot on the Barwon, Cabo, Culgoa, Bree, and Bokhara Rivers, in order to congregate the blacks on the_x000a_reserve at Quantambone. "/>
    <m/>
    <n v="1889"/>
    <x v="2"/>
    <x v="12"/>
    <s v="-29.90739"/>
    <s v="146.85326"/>
    <x v="1"/>
    <x v="0"/>
    <x v="6"/>
    <x v="0"/>
    <x v="0"/>
    <x v="0"/>
    <x v="0"/>
  </r>
  <r>
    <s v="293"/>
    <s v="Bourke."/>
    <s v="Unknown"/>
    <s v="Unknown"/>
    <s v="The Sydney Morning Herald"/>
    <n v="1881"/>
    <n v="514"/>
    <s v="Zotero"/>
    <s v="Sat 17 September 1881_x000a_Senior Constable Steele, of Brewarrina, arrested him [Watty Watty]  on_x000a_Quantambone Station on the opposite side of the river from Brewarrina"/>
    <m/>
    <n v="1881"/>
    <x v="2"/>
    <x v="12"/>
    <s v="-29.90739"/>
    <s v="146.85326"/>
    <x v="1"/>
    <x v="0"/>
    <x v="1"/>
    <x v="4"/>
    <x v="10"/>
    <x v="0"/>
    <x v="0"/>
  </r>
  <r>
    <s v="294"/>
    <s v="Horse and Cattle. Vide Police Gazette, 1878, pages 379-381_x000a_"/>
    <s v="Unknown"/>
    <s v="Unknown"/>
    <s v="New South Wales Police Gazette and Weekly Record of Crime"/>
    <n v="1878"/>
    <n v="407"/>
    <s v="Zotero"/>
    <s v="Wed 13 November 1878_x000a_The horse No. 45 in this week’s list, and a saddle and bridle, the property of William Fraser, Quantambone Station, have been recovered. Tommy Watty, an aboriginal, charged on warrant with stealing the above is supposed to have been killed by the Blacks on the Warrego River."/>
    <m/>
    <n v="1878"/>
    <x v="4"/>
    <x v="12"/>
    <s v="-29.90739"/>
    <s v="146.85326"/>
    <x v="1"/>
    <x v="0"/>
    <x v="5"/>
    <x v="4"/>
    <x v="10"/>
    <x v="0"/>
    <x v="0"/>
  </r>
  <r>
    <s v="059"/>
    <s v="Goodbye Riverbank"/>
    <s v="Žagar"/>
    <s v="Cilka"/>
    <m/>
    <n v="2000"/>
    <n v="11"/>
    <s v="Zotero"/>
    <s v="They lived at Red Hill which was the highest point at Gingie Reserve."/>
    <s v="Oral account from Gary Murphy"/>
    <s v="1850-1880"/>
    <x v="3"/>
    <x v="70"/>
    <m/>
    <m/>
    <x v="2"/>
    <x v="3"/>
    <x v="6"/>
    <x v="0"/>
    <x v="5"/>
    <x v="0"/>
    <x v="0"/>
  </r>
  <r>
    <s v="127"/>
    <s v="Mud, Mussels and Toes"/>
    <s v="Martin"/>
    <s v="Sarah"/>
    <m/>
    <n v="1979"/>
    <n v="200"/>
    <s v=" Zotero"/>
    <s v="The edges of this area are not distinct banks but are marked by deflation hollows filled with scattered stone artifacts."/>
    <m/>
    <s v="Unknown / pre-colonial"/>
    <x v="6"/>
    <x v="71"/>
    <m/>
    <m/>
    <x v="2"/>
    <x v="3"/>
    <x v="2"/>
    <x v="3"/>
    <x v="15"/>
    <x v="0"/>
    <x v="0"/>
  </r>
  <r>
    <s v="105"/>
    <s v="More Ausltralian Legendary Tales"/>
    <s v="Langloh Parker"/>
    <s v="Katie"/>
    <m/>
    <n v="1898"/>
    <n v="3"/>
    <s v="Zotero"/>
    <s v="...old Beereeun goes to meet a tribe coming from Springs country. While he is away we will go towards the Big River, and burn the track behind us."/>
    <m/>
    <s v="Dreamtime"/>
    <x v="6"/>
    <x v="72"/>
    <m/>
    <m/>
    <x v="2"/>
    <x v="3"/>
    <x v="2"/>
    <x v="2"/>
    <x v="7"/>
    <x v="0"/>
    <x v="0"/>
  </r>
  <r>
    <s v="189"/>
    <s v="What Katie Did"/>
    <s v="Singleton"/>
    <s v="Jane"/>
    <m/>
    <n v="2020"/>
    <n v="34"/>
    <s v="Apple Books"/>
    <s v="You didn't go to the swinging bridge, there had been sad buiness there…drownings."/>
    <m/>
    <s v="Unknown"/>
    <x v="6"/>
    <x v="73"/>
    <m/>
    <m/>
    <x v="2"/>
    <x v="3"/>
    <x v="2"/>
    <x v="0"/>
    <x v="2"/>
    <x v="0"/>
    <x v="0"/>
  </r>
  <r>
    <s v="221"/>
    <s v="Treatment of the Aborigines"/>
    <s v="Unknown"/>
    <s v="Unknown"/>
    <s v="The Christian Colonist"/>
    <n v="1890"/>
    <n v="2"/>
    <s v="Zotero"/>
    <s v="Fri 17 Jan 1890_x000a_Mr. Taplin told of a whole camp of blacks, on the Barwon, New South Wales, having been poisoned by the people of an adjacent sheepstation."/>
    <m/>
    <s v="Unknown / early colonial"/>
    <x v="3"/>
    <x v="8"/>
    <n v="-29.9569010805773"/>
    <n v="148.10957831190601"/>
    <x v="0"/>
    <x v="0"/>
    <x v="4"/>
    <x v="1"/>
    <x v="3"/>
    <x v="0"/>
    <x v="0"/>
  </r>
  <r>
    <s v="106"/>
    <s v="Mud, Mussels and Toes"/>
    <s v="Martin"/>
    <s v="Sarah"/>
    <m/>
    <n v="1979"/>
    <n v="190"/>
    <s v="Zotero"/>
    <s v="II. Barwon River - A small midden was found near Boroka Creek on the banks of the Barwon."/>
    <m/>
    <s v="Unknown / pre-colonial"/>
    <x v="6"/>
    <x v="8"/>
    <s v="-29.956901080577335"/>
    <s v="148.10957831190623"/>
    <x v="0"/>
    <x v="0"/>
    <x v="2"/>
    <x v="3"/>
    <x v="14"/>
    <x v="0"/>
    <x v="0"/>
  </r>
  <r>
    <s v="020"/>
    <s v="Aboriginal Fisheries of the Darling-Barwon Rivers"/>
    <s v="Dargin"/>
    <s v="Peter"/>
    <m/>
    <n v="1976"/>
    <n v="32"/>
    <s v="Book"/>
    <s v="It was Baiame's wish that Ngunnhu be a common camp for his people; a meeting place where all could partake and contribute towards the preservation of the fish and fisheries. The boundaries of the Ualari, Weilwan, Baranbindja and Morowai all converged near Brewarrina and each tribe was allocated specified areas of Ngunnhu."/>
    <s v="Ngemba word for Brewarrina fish traps_x000a__x000a_Coordinates are for the Brewarrina fist traps"/>
    <s v="Dreamtime"/>
    <x v="5"/>
    <x v="3"/>
    <s v="-29.957936648216613"/>
    <s v="146.85623099248141"/>
    <x v="0"/>
    <x v="2"/>
    <x v="2"/>
    <x v="3"/>
    <x v="8"/>
    <x v="0"/>
    <x v="0"/>
  </r>
  <r>
    <s v="103"/>
    <s v="Message-Sticks Used by the Aborigines of Australia"/>
    <s v="Mathews"/>
    <s v="Robert Hamilton"/>
    <m/>
    <n v="1897"/>
    <s v="294-295"/>
    <s v="Zotero"/>
    <s v="This stick was made by Belay and Kunganooay, two brothers, of the Kubbi class and Iguana totem, both of whom are chief men of the Tinanburra tribe, and was dispatched to Nanee, Kumbo Kangaroo, one of the head-men of the Culgoa tribe, residing at Goodooga. The makers of the stick gave it, together with a verbal message, to a black fellow whose name I did not learn, who brought it from Tinanburra to Toulby, a distance of about 60 miles, where he handed it over to Kubbi Iguana, a man of the Culgoa tribe. Kubbi brought it to Tatalla, on the Culgoa river, about ten miles from Toulby, where he met &quot;George,&quot; a half-caste, a Kubbi Padamelon, who is a &quot;tracker&quot; attached to the Goodooga police station and who was then at Tatalla on official duty. Kubbi handed the stick to George, who brought it to Goodooga and gave it to Nanee..."/>
    <m/>
    <s v="1894-1897"/>
    <x v="0"/>
    <x v="62"/>
    <s v="-29.043156444734976"/>
    <s v="146.9843650961434"/>
    <x v="0"/>
    <x v="0"/>
    <x v="2"/>
    <x v="0"/>
    <x v="1"/>
    <x v="0"/>
    <x v="0"/>
  </r>
  <r>
    <s v="295"/>
    <s v="Shearing Times"/>
    <s v="Unknown"/>
    <s v="Unknown"/>
    <s v="The Hummer"/>
    <n v="1892"/>
    <n v="1"/>
    <s v="Zotero"/>
    <s v="Sat 30 July 1892_x000a_Weilmoringle station, Bourke, called the roll on the 15th inst., but refused_x000a_to give 30s a week to the shed hands, so was unable to make a start until the 20th, by which time the boss had gathered together enough of the Toulby blacks to give him a start, the station jackeroos acting as wool rollers."/>
    <m/>
    <n v="1892"/>
    <x v="0"/>
    <x v="62"/>
    <s v="-29.043156444734976"/>
    <s v="146.9843650961434"/>
    <x v="0"/>
    <x v="0"/>
    <x v="3"/>
    <x v="0"/>
    <x v="2"/>
    <x v="0"/>
    <x v="0"/>
  </r>
  <r>
    <s v="296"/>
    <s v="Rabbits on the Maranoa"/>
    <s v="Unknown"/>
    <s v="Unknown"/>
    <s v="The Western Star"/>
    <n v="1893"/>
    <n v="2"/>
    <s v="Zotero"/>
    <s v="Wed 5th April 1893_x000a_I have put a trapper on Toulby, also one on Brenda. I may mention that on_x000a_Molten Plains. which borders 20 miles of our southern boundary where the western fence strikes off, that rabbits are being killed at the rate of 600 per week, six blacks being employed in destruction with dogs and all other means except poison."/>
    <m/>
    <n v="1893"/>
    <x v="0"/>
    <x v="62"/>
    <n v="-29.043156444734901"/>
    <n v="146.98436509614299"/>
    <x v="0"/>
    <x v="0"/>
    <x v="3"/>
    <x v="0"/>
    <x v="2"/>
    <x v="0"/>
    <x v="0"/>
  </r>
  <r>
    <s v="051"/>
    <s v="Brewarrina - Racism Rampant in Country Town."/>
    <s v="Unknown"/>
    <s v="Unknown"/>
    <s v="Tribune"/>
    <n v="1972"/>
    <n v="5"/>
    <s v="Zotero"/>
    <s v="Tues 20 June 1972_x000a_An old Aboriginal man from the Community at Wielmoringle, north of Brewarrina, also told me of skeletons from another massacre at Urie Point, north of HospitalCreek,on another riverbed, and of skeletons that are exposed when the waters come down."/>
    <m/>
    <s v="Unknown / early colonial"/>
    <x v="3"/>
    <x v="74"/>
    <s v="-29.3622"/>
    <s v="146.77282"/>
    <x v="1"/>
    <x v="0"/>
    <x v="4"/>
    <x v="1"/>
    <x v="3"/>
    <x v="0"/>
    <x v="0"/>
  </r>
  <r>
    <s v="092"/>
    <s v="Memory and history at Angledool, New South Wales"/>
    <s v="Menin"/>
    <s v="Marisa"/>
    <m/>
    <n v="1996"/>
    <n v="32"/>
    <s v="AIATSIS"/>
    <s v="...a reported massacre occurred very near Yuwaalaraay territory, 10 kilometres north of Brewarrina, between 1860 and 1870. The event leading to this massacre, was the killing of a stockman and an Aboriginal woman at 'Walcha Hut', a remote outpost of Brewarrina. An early settler recorded in his diary:_x000a_[t]he blacks raised the hut, killed and mutiliated the occupants as a warning to other [stockment about co-habiting with Aboriginal women] and burnt the hut and yards. They then killed and roasted a bullock near the hut, and it was the smoke that alerted the other settlers and stockmen along the creek. ...The mob of blacks headed out to the Narran Lake region but were cuaght in the hollow known as Hospital Creek and &quot;massacred&quot; (Brewarrina Historical Society, 1992: 145)."/>
    <m/>
    <s v="1860-1870"/>
    <x v="9"/>
    <x v="75"/>
    <m/>
    <m/>
    <x v="2"/>
    <x v="3"/>
    <x v="4"/>
    <x v="1"/>
    <x v="3"/>
    <x v="0"/>
    <x v="0"/>
  </r>
  <r>
    <s v="021"/>
    <s v="Aboriginal Fisheries of the Darling-Barwon Rivers"/>
    <s v="Dargin"/>
    <s v="Peter"/>
    <m/>
    <n v="1976"/>
    <n v="36"/>
    <s v="Book"/>
    <s v="The large rocks within the area of the Ngunnhu were of significance to the Ngemba who named them as shown on the plan. On the rock shelf adjacent to Muar, are grinding places worn by the grinding and sharpening of stone implements. Closer to the water are a series of bowl shaped holes each lower than the other, obviously rounded and smoothed by hand, as stone pieces were swirled about in them."/>
    <s v="Ngemba word for Brewarrina fish traps_x000a__x000a_Refer to map on pg 37 of Aborigina Fisheries of the Darling-Barwon Rivers_x000a__x000a_Coordinates are for the Brewarrina fist traps"/>
    <s v="Dreamtime"/>
    <x v="5"/>
    <x v="3"/>
    <s v="-29.957936648216613"/>
    <s v="146.85623099248141"/>
    <x v="0"/>
    <x v="2"/>
    <x v="2"/>
    <x v="3"/>
    <x v="11"/>
    <x v="0"/>
    <x v="0"/>
  </r>
  <r>
    <s v="297"/>
    <s v="Discovery of Human Remains near Walgett"/>
    <s v="Unknown"/>
    <s v="Unknown"/>
    <s v="The Sydney Morning Herald"/>
    <n v="1864"/>
    <n v="4"/>
    <s v="Zotero"/>
    <s v="Wed 3rd February 1864_x000a_Discovery of human remains near Walgett._x000a_-Information has been received from Walgett, by a letter dated the 19th of January, that on the 16th the remaius of a human skeleton were found in the_x000a_bush, between the Narran aud Barwin rivers, and about 30 miles from Walgett. Many of the bones to complete the frame were wanting. They were discovered by a blackfellow, and, from the presence of a number of decayed rags of clothing where the bones were found, there can be but little doubt but they were those of a white man."/>
    <m/>
    <n v="1864"/>
    <x v="9"/>
    <x v="63"/>
    <s v="-30.02417130158875"/>
    <s v="148.1220195039572"/>
    <x v="0"/>
    <x v="0"/>
    <x v="1"/>
    <x v="4"/>
    <x v="10"/>
    <x v="0"/>
    <x v="0"/>
  </r>
  <r>
    <s v="298"/>
    <s v="Aborigines' Board"/>
    <s v="Unknown"/>
    <s v="Unknown"/>
    <s v="The Daily Telegraph"/>
    <n v="1899"/>
    <n v="3"/>
    <s v="Zotero"/>
    <s v="Fri 13th October 1899_x000a_The superintendent of police at Bourke submitted tenders for meat rations at Angledool, Culgoa, Pilliga, Colane, Goodooga, Walgett, and Tatalla aboriginal camps."/>
    <m/>
    <n v="1899"/>
    <x v="0"/>
    <x v="63"/>
    <s v="-30.02417130158875"/>
    <s v="148.1220195039572"/>
    <x v="0"/>
    <x v="0"/>
    <x v="0"/>
    <x v="0"/>
    <x v="0"/>
    <x v="0"/>
    <x v="0"/>
  </r>
  <r>
    <s v="299"/>
    <s v="Aborigines' Protection Board"/>
    <s v="Unknown"/>
    <s v="Unknown"/>
    <s v="The Evening News"/>
    <n v="1896"/>
    <n v="5"/>
    <s v="Zotero"/>
    <s v="Fri 31st July 1896_x000a_The Principal Under-Secretary forwarded a letter addressed to the Chief Secretary by Mr. Willis, M.L.A., urging that rations be supplied to the aborigines at Walgrett, Collarendabri, Goodooga, and Angledool. The secretary reported that the destitute aborigines at the places named had been receiving rations from the board for years past, and that during the first six months of the present year the sum of £160 had been expended for that purpose. It was decided to acquaint the Chief Secretary of the fact. "/>
    <m/>
    <n v="1896"/>
    <x v="0"/>
    <x v="63"/>
    <s v="-30.02417130158875"/>
    <n v="148.12201950395701"/>
    <x v="0"/>
    <x v="0"/>
    <x v="0"/>
    <x v="0"/>
    <x v="0"/>
    <x v="0"/>
    <x v="0"/>
  </r>
  <r>
    <s v="300"/>
    <s v="Aborigines' Protection Board"/>
    <s v="Unknown"/>
    <s v="Unknown"/>
    <s v="The Sydney Morning Herald"/>
    <n v="1897"/>
    <n v="3"/>
    <s v="Zotero"/>
    <s v="Fri 16th July 1897_x000a_Tenders were accepted for the supply of rations to aborigines in camp at Cobar, Glen Innes, Walgett, Goodooga, and Pilliga."/>
    <m/>
    <n v="1897"/>
    <x v="0"/>
    <x v="63"/>
    <n v="-30.024171301588702"/>
    <n v="148.12201950395701"/>
    <x v="0"/>
    <x v="0"/>
    <x v="0"/>
    <x v="0"/>
    <x v="0"/>
    <x v="0"/>
    <x v="0"/>
  </r>
  <r>
    <s v="301"/>
    <s v="Walgett."/>
    <s v="Unknown"/>
    <s v="Unknown"/>
    <s v="The Maitland Mercury"/>
    <n v="1875"/>
    <n v="4"/>
    <s v="Zotero"/>
    <s v="Tues 28th December 1875_x000a_The weather is unchangeable, and it continues without rain. But the chances from high to low in temperature continue to be very severe.  Whether these_x000a_changes are the cause or not I cannot say , but everyone is ailing with a sort or influenza-even the blacks are very bad"/>
    <m/>
    <n v="1875"/>
    <x v="4"/>
    <x v="63"/>
    <n v="-30.024171301588702"/>
    <n v="148.12201950395701"/>
    <x v="0"/>
    <x v="0"/>
    <x v="10"/>
    <x v="4"/>
    <x v="10"/>
    <x v="0"/>
    <x v="0"/>
  </r>
  <r>
    <s v="302"/>
    <s v="Walgett"/>
    <s v="Unknown"/>
    <s v="Unknown"/>
    <s v="The Maitland Mercury"/>
    <n v="1879"/>
    <n v="2"/>
    <s v="Zotero"/>
    <s v="Tues 21st Oct 1879_x000a_Three aboriginals will be arraigned these sessions, for separate offences, &quot; Billy Cubbie&quot; for horse stealing ; &quot; Jacky Bundah&quot; for robbery from the person, and &quot;Cubbie&quot; for sheep stealing._x000a_"/>
    <m/>
    <n v="1879"/>
    <x v="4"/>
    <x v="63"/>
    <n v="-30.024171301588702"/>
    <n v="148.12201950395701"/>
    <x v="0"/>
    <x v="0"/>
    <x v="5"/>
    <x v="4"/>
    <x v="10"/>
    <x v="0"/>
    <x v="0"/>
  </r>
  <r>
    <s v="178"/>
    <s v="The Two Worlds of Jimmie Barker"/>
    <s v="Mathews"/>
    <s v="Janet"/>
    <m/>
    <n v="1988"/>
    <n v="30"/>
    <s v="Book"/>
    <s v="&quot;Weilmoringle means 'old man saltbush'.&quot;"/>
    <m/>
    <s v="Unknown"/>
    <x v="6"/>
    <x v="76"/>
    <s v="-29.2488863149501"/>
    <s v="146.921040336351"/>
    <x v="0"/>
    <x v="0"/>
    <x v="1"/>
    <x v="4"/>
    <x v="10"/>
    <x v="0"/>
    <x v="0"/>
  </r>
  <r>
    <s v="181"/>
    <s v="Weilmoringle: A unique bi-cultural community"/>
    <s v="Gill"/>
    <s v="Merri"/>
    <m/>
    <n v="1996"/>
    <n v="12"/>
    <s v="Noel Butlin_x000a_ARCHIVES reference DU125.M83 G56 1996"/>
    <s v="Robin was born in September 1901. His father was James Campbell who was head stockman on the station. James had been brought up by the Mackenzies who were the first European owners of Weilmoringle"/>
    <s v="wayilmarrangkal - Muruwari word for old man salt bush (Weilmoringle)"/>
    <s v="Unknown / early colonial"/>
    <x v="3"/>
    <x v="77"/>
    <s v="-29.24278"/>
    <n v="146.92184"/>
    <x v="1"/>
    <x v="1"/>
    <x v="3"/>
    <x v="0"/>
    <x v="2"/>
    <x v="0"/>
    <x v="0"/>
  </r>
  <r>
    <s v="303"/>
    <s v="Shearing Times"/>
    <s v="Unknown"/>
    <s v="Unknown"/>
    <s v="The Hummer"/>
    <n v="1892"/>
    <n v="1"/>
    <s v="Zotero"/>
    <s v="Sat 30th July 1892_x000a_Weilmoringle station, Bourke, called the roll on the 15th inst., but refused_x000a_to give 30s a week to the shed hands, so was unable to make a start until the 20th, by which time the boss had gathered together enough of the Toulby blacks to give him a start, the station jackeroos acting as wool rollers."/>
    <m/>
    <n v="1892"/>
    <x v="0"/>
    <x v="77"/>
    <s v="-29.24278"/>
    <n v="146.92184"/>
    <x v="1"/>
    <x v="1"/>
    <x v="3"/>
    <x v="0"/>
    <x v="2"/>
    <x v="0"/>
    <x v="0"/>
  </r>
  <r>
    <s v="304"/>
    <s v="Shearing notes"/>
    <s v="Unknown"/>
    <s v="Unknown"/>
    <s v="The Worker"/>
    <n v="1894"/>
    <n v="3"/>
    <s v="Zotero"/>
    <s v="Sat 27 October 1894_x000a_There are also a few aboriginals camped here who were engaged to do the shed work, but refused to work under the P.U. terms. They consider themselves_x000a_union men, and will not work with scabs."/>
    <m/>
    <n v="1894"/>
    <x v="0"/>
    <x v="77"/>
    <s v="-29.24278"/>
    <n v="146.92184"/>
    <x v="1"/>
    <x v="1"/>
    <x v="3"/>
    <x v="0"/>
    <x v="2"/>
    <x v="0"/>
    <x v="0"/>
  </r>
  <r>
    <s v="184"/>
    <s v="What Katie Did"/>
    <s v="Singleton"/>
    <s v="Jane"/>
    <m/>
    <n v="2020"/>
    <n v="2"/>
    <s v="Apple Books"/>
    <s v="The legends were largely gathered from the Noongahburrahs who lived on Euahlayi country where Bangate Station had been established…"/>
    <m/>
    <s v="Dreamtime"/>
    <x v="5"/>
    <x v="7"/>
    <s v="-29.544588938230326"/>
    <s v="147.21954358946417"/>
    <x v="0"/>
    <x v="1"/>
    <x v="2"/>
    <x v="4"/>
    <x v="10"/>
    <x v="0"/>
    <x v="0"/>
  </r>
  <r>
    <s v="029"/>
    <s v="Australian Legendary Tales"/>
    <s v="Langloh Parker"/>
    <s v="Katie"/>
    <m/>
    <n v="1895"/>
    <n v="10"/>
    <s v="Zotero"/>
    <s v="Coorigel Springs "/>
    <s v="Google Maps - Corrigul Springs near Angledool_x000a_GNR - Cowragil Spring"/>
    <s v="Dreamtime"/>
    <x v="5"/>
    <x v="19"/>
    <n v="-28.9874636347425"/>
    <n v="147.89541757324699"/>
    <x v="0"/>
    <x v="0"/>
    <x v="1"/>
    <x v="4"/>
    <x v="10"/>
    <x v="0"/>
    <x v="0"/>
  </r>
  <r>
    <s v="305"/>
    <s v="Walgett"/>
    <s v="Unknown"/>
    <s v="Unknown"/>
    <s v="The Maitland Mercury"/>
    <n v="1870"/>
    <n v="4"/>
    <s v="Zotero"/>
    <s v="Thurs 24 November 1870_x000a_&quot; Euroka Jack,&quot;  the aboriginal who recently was sentenced to a month's imprisonment for drunkenness and riotous conduct, has distinguished himself under the following circumstances -A Mr Baird, of Wilkie Plains, lost his gold watch and chain while on his journey to attend the court in the trespass case of Murray  v Mackay. &quot; Euroka ' was put on his tracks, and notwithstanding the bogs, the water,and the long grass he had to contend with, be very cleverly discovered the lost articles after five miles tracking, and safely delivered them to the owner."/>
    <m/>
    <n v="1870"/>
    <x v="4"/>
    <x v="78"/>
    <n v="-29.910920000000001"/>
    <n v="147.67271"/>
    <x v="1"/>
    <x v="0"/>
    <x v="9"/>
    <x v="4"/>
    <x v="10"/>
    <x v="0"/>
    <x v="0"/>
  </r>
  <r>
    <s v="179"/>
    <s v="The Two Worlds of Jimmie Barker"/>
    <s v="Mathews"/>
    <s v="Janet"/>
    <m/>
    <n v="1988"/>
    <n v="30"/>
    <s v="Book"/>
    <s v="&quot;Wirrawirra means 'fallen fire.&quot;"/>
    <m/>
    <s v="Unknown"/>
    <x v="6"/>
    <x v="79"/>
    <m/>
    <m/>
    <x v="2"/>
    <x v="3"/>
    <x v="1"/>
    <x v="4"/>
    <x v="10"/>
    <x v="0"/>
    <x v="0"/>
  </r>
  <r>
    <s v="050"/>
    <s v="Bourke Shire Aboriginal Heritage Study"/>
    <s v="Ozarch EHM"/>
    <m/>
    <m/>
    <n v="2019"/>
    <n v="74"/>
    <s v="Zotero"/>
    <s v="Other grinding stones quarried from pits on Yambacoona (also known as Mount Druid), 30 kms from Brewarrina, were apparently of inferior quality and could be extracted by anyone visiting the area (Benwell 2002: 2)."/>
    <m/>
    <s v="Unknown / pre-colonial"/>
    <x v="6"/>
    <x v="80"/>
    <s v="-29.96603381695011"/>
    <s v="146.56679538893005"/>
    <x v="0"/>
    <x v="1"/>
    <x v="2"/>
    <x v="3"/>
    <x v="20"/>
    <x v="0"/>
    <x v="0"/>
  </r>
  <r>
    <s v="128"/>
    <s v="Mud, Mussels and Toes"/>
    <s v="Martin"/>
    <s v="Sarah"/>
    <m/>
    <n v="1979"/>
    <n v="192"/>
    <s v="Zotero"/>
    <s v="The surface was scattered with stone artifacts.including nosed and round edged scrapers and an adze slug. Grindstone fragments were connnon and I saw six complete grindstones."/>
    <m/>
    <s v="Unknown / pre-colonial"/>
    <x v="6"/>
    <x v="81"/>
    <s v="-30.098832970714433"/>
    <s v="147.40106811507283"/>
    <x v="0"/>
    <x v="0"/>
    <x v="2"/>
    <x v="3"/>
    <x v="15"/>
    <x v="0"/>
    <x v="0"/>
  </r>
  <r>
    <s v="306"/>
    <s v="Horses and Cattle_x000a_"/>
    <s v="Unknown"/>
    <s v="Unknown"/>
    <s v="New South Wales Police Gazette and Weekly Record of Crime"/>
    <n v="1875"/>
    <n v="190"/>
    <s v="Zotero"/>
    <s v="Wed 30th July 1875_x000a_The mare No. 4 in this week’s list, the property of John Carew, Yarrawin, Marra Creek, is supposed to have been stolen, by Charley, a Queensland Aboriginal. He is about 23 years of age 5 feet 6 inches high, stout build, large bushy whiskers, rather good looking; dressed in moleskin trousers, light tweed coat, and light felt hat. Supposed to have gone up the Barwin. No warrant issued."/>
    <m/>
    <n v="1875"/>
    <x v="4"/>
    <x v="82"/>
    <n v="-30.269639999999999"/>
    <n v="147.21550999999999"/>
    <x v="1"/>
    <x v="0"/>
    <x v="5"/>
    <x v="4"/>
    <x v="1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8339C2-F7CA-004E-8E5C-3A7E6B7E2613}"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5:X47" firstHeaderRow="1" firstDataRow="2" firstDataCol="1"/>
  <pivotFields count="28">
    <pivotField showAll="0"/>
    <pivotField showAll="0"/>
    <pivotField showAll="0"/>
    <pivotField showAll="0"/>
    <pivotField showAll="0"/>
    <pivotField showAll="0"/>
    <pivotField showAll="0"/>
    <pivotField showAll="0"/>
    <pivotField showAll="0"/>
    <pivotField showAll="0"/>
    <pivotField showAll="0"/>
    <pivotField axis="axisRow" showAll="0">
      <items count="11">
        <item x="5"/>
        <item x="6"/>
        <item x="7"/>
        <item x="8"/>
        <item x="9"/>
        <item x="4"/>
        <item x="2"/>
        <item x="0"/>
        <item x="1"/>
        <item x="3"/>
        <item t="default"/>
      </items>
    </pivotField>
    <pivotField showAll="0"/>
    <pivotField showAll="0"/>
    <pivotField showAll="0"/>
    <pivotField showAll="0"/>
    <pivotField showAll="0"/>
    <pivotField showAll="0"/>
    <pivotField showAll="0"/>
    <pivotField axis="axisCol" dataField="1" showAll="0">
      <items count="25">
        <item x="0"/>
        <item x="1"/>
        <item x="4"/>
        <item x="6"/>
        <item m="1" x="21"/>
        <item x="18"/>
        <item x="13"/>
        <item x="7"/>
        <item x="8"/>
        <item x="17"/>
        <item x="11"/>
        <item x="12"/>
        <item x="16"/>
        <item x="9"/>
        <item x="3"/>
        <item x="14"/>
        <item x="5"/>
        <item x="2"/>
        <item x="10"/>
        <item x="19"/>
        <item m="1" x="22"/>
        <item x="15"/>
        <item x="20"/>
        <item m="1" x="23"/>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1"/>
  </rowFields>
  <rowItems count="11">
    <i>
      <x/>
    </i>
    <i>
      <x v="1"/>
    </i>
    <i>
      <x v="2"/>
    </i>
    <i>
      <x v="3"/>
    </i>
    <i>
      <x v="4"/>
    </i>
    <i>
      <x v="5"/>
    </i>
    <i>
      <x v="6"/>
    </i>
    <i>
      <x v="7"/>
    </i>
    <i>
      <x v="8"/>
    </i>
    <i>
      <x v="9"/>
    </i>
    <i t="grand">
      <x/>
    </i>
  </rowItems>
  <colFields count="1">
    <field x="19"/>
  </colFields>
  <colItems count="22">
    <i>
      <x/>
    </i>
    <i>
      <x v="1"/>
    </i>
    <i>
      <x v="2"/>
    </i>
    <i>
      <x v="3"/>
    </i>
    <i>
      <x v="5"/>
    </i>
    <i>
      <x v="6"/>
    </i>
    <i>
      <x v="7"/>
    </i>
    <i>
      <x v="8"/>
    </i>
    <i>
      <x v="9"/>
    </i>
    <i>
      <x v="10"/>
    </i>
    <i>
      <x v="11"/>
    </i>
    <i>
      <x v="12"/>
    </i>
    <i>
      <x v="13"/>
    </i>
    <i>
      <x v="14"/>
    </i>
    <i>
      <x v="15"/>
    </i>
    <i>
      <x v="16"/>
    </i>
    <i>
      <x v="17"/>
    </i>
    <i>
      <x v="18"/>
    </i>
    <i>
      <x v="19"/>
    </i>
    <i>
      <x v="21"/>
    </i>
    <i>
      <x v="22"/>
    </i>
    <i t="grand">
      <x/>
    </i>
  </colItems>
  <dataFields count="1">
    <dataField name="Count of place_type_1" fld="19" subtotal="count"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4AB9AC-D393-AD42-B429-1C5FBD2BDAA6}"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20:H32" firstHeaderRow="1" firstDataRow="2" firstDataCol="1"/>
  <pivotFields count="28">
    <pivotField showAll="0"/>
    <pivotField showAll="0"/>
    <pivotField showAll="0"/>
    <pivotField showAll="0"/>
    <pivotField showAll="0"/>
    <pivotField showAll="0"/>
    <pivotField showAll="0"/>
    <pivotField showAll="0"/>
    <pivotField showAll="0"/>
    <pivotField showAll="0"/>
    <pivotField showAll="0"/>
    <pivotField axis="axisRow" showAll="0">
      <items count="11">
        <item x="5"/>
        <item x="6"/>
        <item x="7"/>
        <item x="8"/>
        <item x="9"/>
        <item x="4"/>
        <item x="2"/>
        <item x="0"/>
        <item x="1"/>
        <item x="3"/>
        <item t="default"/>
      </items>
    </pivotField>
    <pivotField showAll="0"/>
    <pivotField showAll="0"/>
    <pivotField showAll="0"/>
    <pivotField showAll="0"/>
    <pivotField showAll="0"/>
    <pivotField showAll="0"/>
    <pivotField axis="axisCol" dataField="1" showAll="0" sortType="ascending">
      <items count="8">
        <item m="1" x="5"/>
        <item x="2"/>
        <item x="0"/>
        <item x="1"/>
        <item x="4"/>
        <item x="3"/>
        <item m="1" x="6"/>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1"/>
  </rowFields>
  <rowItems count="11">
    <i>
      <x/>
    </i>
    <i>
      <x v="1"/>
    </i>
    <i>
      <x v="2"/>
    </i>
    <i>
      <x v="3"/>
    </i>
    <i>
      <x v="4"/>
    </i>
    <i>
      <x v="5"/>
    </i>
    <i>
      <x v="6"/>
    </i>
    <i>
      <x v="7"/>
    </i>
    <i>
      <x v="8"/>
    </i>
    <i>
      <x v="9"/>
    </i>
    <i t="grand">
      <x/>
    </i>
  </rowItems>
  <colFields count="1">
    <field x="18"/>
  </colFields>
  <colItems count="6">
    <i>
      <x v="1"/>
    </i>
    <i>
      <x v="2"/>
    </i>
    <i>
      <x v="3"/>
    </i>
    <i>
      <x v="4"/>
    </i>
    <i>
      <x v="5"/>
    </i>
    <i t="grand">
      <x/>
    </i>
  </colItems>
  <dataFields count="1">
    <dataField name="Count of place_category" fld="18" subtotal="count" baseField="0" baseItem="0"/>
  </dataFields>
  <formats count="2">
    <format dxfId="101">
      <pivotArea outline="0" collapsedLevelsAreSubtotals="1" fieldPosition="0">
        <references count="1">
          <reference field="18" count="0" selected="0"/>
        </references>
      </pivotArea>
    </format>
    <format dxfId="100">
      <pivotArea dataOnly="0" labelOnly="1" fieldPosition="0">
        <references count="1">
          <reference field="18" count="0"/>
        </references>
      </pivotArea>
    </format>
  </formats>
  <chartFormats count="15">
    <chartFormat chart="0" format="0" series="1">
      <pivotArea type="data" outline="0" fieldPosition="0">
        <references count="2">
          <reference field="4294967294" count="1" selected="0">
            <x v="0"/>
          </reference>
          <reference field="18" count="1" selected="0">
            <x v="1"/>
          </reference>
        </references>
      </pivotArea>
    </chartFormat>
    <chartFormat chart="0" format="1" series="1">
      <pivotArea type="data" outline="0" fieldPosition="0">
        <references count="2">
          <reference field="4294967294" count="1" selected="0">
            <x v="0"/>
          </reference>
          <reference field="18" count="1" selected="0">
            <x v="2"/>
          </reference>
        </references>
      </pivotArea>
    </chartFormat>
    <chartFormat chart="0" format="2" series="1">
      <pivotArea type="data" outline="0" fieldPosition="0">
        <references count="2">
          <reference field="4294967294" count="1" selected="0">
            <x v="0"/>
          </reference>
          <reference field="18" count="1" selected="0">
            <x v="3"/>
          </reference>
        </references>
      </pivotArea>
    </chartFormat>
    <chartFormat chart="0" format="3" series="1">
      <pivotArea type="data" outline="0" fieldPosition="0">
        <references count="2">
          <reference field="4294967294" count="1" selected="0">
            <x v="0"/>
          </reference>
          <reference field="18" count="1" selected="0">
            <x v="4"/>
          </reference>
        </references>
      </pivotArea>
    </chartFormat>
    <chartFormat chart="0" format="4" series="1">
      <pivotArea type="data" outline="0" fieldPosition="0">
        <references count="2">
          <reference field="4294967294" count="1" selected="0">
            <x v="0"/>
          </reference>
          <reference field="18" count="1" selected="0">
            <x v="5"/>
          </reference>
        </references>
      </pivotArea>
    </chartFormat>
    <chartFormat chart="5" format="5" series="1">
      <pivotArea type="data" outline="0" fieldPosition="0">
        <references count="2">
          <reference field="4294967294" count="1" selected="0">
            <x v="0"/>
          </reference>
          <reference field="18" count="1" selected="0">
            <x v="5"/>
          </reference>
        </references>
      </pivotArea>
    </chartFormat>
    <chartFormat chart="5" format="6" series="1">
      <pivotArea type="data" outline="0" fieldPosition="0">
        <references count="2">
          <reference field="4294967294" count="1" selected="0">
            <x v="0"/>
          </reference>
          <reference field="18" count="1" selected="0">
            <x v="4"/>
          </reference>
        </references>
      </pivotArea>
    </chartFormat>
    <chartFormat chart="5" format="7" series="1">
      <pivotArea type="data" outline="0" fieldPosition="0">
        <references count="2">
          <reference field="4294967294" count="1" selected="0">
            <x v="0"/>
          </reference>
          <reference field="18" count="1" selected="0">
            <x v="3"/>
          </reference>
        </references>
      </pivotArea>
    </chartFormat>
    <chartFormat chart="5" format="8" series="1">
      <pivotArea type="data" outline="0" fieldPosition="0">
        <references count="2">
          <reference field="4294967294" count="1" selected="0">
            <x v="0"/>
          </reference>
          <reference field="18" count="1" selected="0">
            <x v="2"/>
          </reference>
        </references>
      </pivotArea>
    </chartFormat>
    <chartFormat chart="5" format="9" series="1">
      <pivotArea type="data" outline="0" fieldPosition="0">
        <references count="2">
          <reference field="4294967294" count="1" selected="0">
            <x v="0"/>
          </reference>
          <reference field="18" count="1" selected="0">
            <x v="1"/>
          </reference>
        </references>
      </pivotArea>
    </chartFormat>
    <chartFormat chart="10" format="5" series="1">
      <pivotArea type="data" outline="0" fieldPosition="0">
        <references count="2">
          <reference field="4294967294" count="1" selected="0">
            <x v="0"/>
          </reference>
          <reference field="18" count="1" selected="0">
            <x v="1"/>
          </reference>
        </references>
      </pivotArea>
    </chartFormat>
    <chartFormat chart="10" format="6" series="1">
      <pivotArea type="data" outline="0" fieldPosition="0">
        <references count="2">
          <reference field="4294967294" count="1" selected="0">
            <x v="0"/>
          </reference>
          <reference field="18" count="1" selected="0">
            <x v="2"/>
          </reference>
        </references>
      </pivotArea>
    </chartFormat>
    <chartFormat chart="10" format="7" series="1">
      <pivotArea type="data" outline="0" fieldPosition="0">
        <references count="2">
          <reference field="4294967294" count="1" selected="0">
            <x v="0"/>
          </reference>
          <reference field="18" count="1" selected="0">
            <x v="3"/>
          </reference>
        </references>
      </pivotArea>
    </chartFormat>
    <chartFormat chart="10" format="8" series="1">
      <pivotArea type="data" outline="0" fieldPosition="0">
        <references count="2">
          <reference field="4294967294" count="1" selected="0">
            <x v="0"/>
          </reference>
          <reference field="18" count="1" selected="0">
            <x v="4"/>
          </reference>
        </references>
      </pivotArea>
    </chartFormat>
    <chartFormat chart="10" format="9" series="1">
      <pivotArea type="data" outline="0" fieldPosition="0">
        <references count="2">
          <reference field="4294967294" count="1" selected="0">
            <x v="0"/>
          </reference>
          <reference field="18" count="1" selected="0">
            <x v="5"/>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06BAFF-02CC-6045-8A5D-C7221D3A1BEA}"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0:N92" firstHeaderRow="1" firstDataRow="2" firstDataCol="1"/>
  <pivotFields count="28">
    <pivotField showAll="0"/>
    <pivotField showAll="0"/>
    <pivotField showAll="0"/>
    <pivotField showAll="0"/>
    <pivotField showAll="0"/>
    <pivotField showAll="0"/>
    <pivotField showAll="0"/>
    <pivotField showAll="0"/>
    <pivotField showAll="0"/>
    <pivotField showAll="0"/>
    <pivotField showAll="0"/>
    <pivotField axis="axisRow" showAll="0">
      <items count="11">
        <item x="5"/>
        <item x="6"/>
        <item x="7"/>
        <item x="8"/>
        <item x="9"/>
        <item x="4"/>
        <item x="2"/>
        <item x="0"/>
        <item x="1"/>
        <item x="3"/>
        <item t="default"/>
      </items>
    </pivotField>
    <pivotField showAll="0"/>
    <pivotField showAll="0"/>
    <pivotField showAll="0"/>
    <pivotField showAll="0"/>
    <pivotField showAll="0"/>
    <pivotField axis="axisCol" showAll="0">
      <items count="12">
        <item x="8"/>
        <item x="5"/>
        <item x="0"/>
        <item x="6"/>
        <item x="1"/>
        <item x="10"/>
        <item x="9"/>
        <item x="2"/>
        <item x="7"/>
        <item x="3"/>
        <item x="4"/>
        <item t="default"/>
      </items>
    </pivotField>
    <pivotField dataFiel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1"/>
  </rowFields>
  <rowItems count="11">
    <i>
      <x/>
    </i>
    <i>
      <x v="1"/>
    </i>
    <i>
      <x v="2"/>
    </i>
    <i>
      <x v="3"/>
    </i>
    <i>
      <x v="4"/>
    </i>
    <i>
      <x v="5"/>
    </i>
    <i>
      <x v="6"/>
    </i>
    <i>
      <x v="7"/>
    </i>
    <i>
      <x v="8"/>
    </i>
    <i>
      <x v="9"/>
    </i>
    <i t="grand">
      <x/>
    </i>
  </rowItems>
  <colFields count="1">
    <field x="17"/>
  </colFields>
  <colItems count="12">
    <i>
      <x/>
    </i>
    <i>
      <x v="1"/>
    </i>
    <i>
      <x v="2"/>
    </i>
    <i>
      <x v="3"/>
    </i>
    <i>
      <x v="4"/>
    </i>
    <i>
      <x v="5"/>
    </i>
    <i>
      <x v="6"/>
    </i>
    <i>
      <x v="7"/>
    </i>
    <i>
      <x v="8"/>
    </i>
    <i>
      <x v="9"/>
    </i>
    <i>
      <x v="10"/>
    </i>
    <i t="grand">
      <x/>
    </i>
  </colItems>
  <dataFields count="1">
    <dataField name="Count of place_category" fld="18" subtotal="count" baseField="0" baseItem="0"/>
  </dataFields>
  <formats count="1">
    <format dxfId="102">
      <pivotArea dataOnly="0" outline="0" fieldPosition="0">
        <references count="1">
          <reference field="17" count="0"/>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6A254B-AD3F-2D41-9122-CB764CF3D95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4:C15" firstHeaderRow="1"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axis="axisRow" dataField="1" showAll="0">
      <items count="11">
        <item x="5"/>
        <item x="6"/>
        <item x="7"/>
        <item x="8"/>
        <item x="9"/>
        <item x="4"/>
        <item x="2"/>
        <item x="0"/>
        <item x="1"/>
        <item x="3"/>
        <item t="default"/>
      </items>
    </pivotField>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1"/>
  </rowFields>
  <rowItems count="11">
    <i>
      <x/>
    </i>
    <i>
      <x v="1"/>
    </i>
    <i>
      <x v="2"/>
    </i>
    <i>
      <x v="3"/>
    </i>
    <i>
      <x v="4"/>
    </i>
    <i>
      <x v="5"/>
    </i>
    <i>
      <x v="6"/>
    </i>
    <i>
      <x v="7"/>
    </i>
    <i>
      <x v="8"/>
    </i>
    <i>
      <x v="9"/>
    </i>
    <i t="grand">
      <x/>
    </i>
  </rowItems>
  <colItems count="1">
    <i/>
  </colItems>
  <dataFields count="1">
    <dataField name="Count of period" fld="11" subtotal="count" baseField="0" baseItem="0"/>
  </dataFields>
  <chartFormats count="3">
    <chartFormat chart="4"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37B2B5-1664-2548-85F6-6CECF3005C22}" name="PivotTable7"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E4:K17" firstHeaderRow="1" firstDataRow="2"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2">
        <item x="8"/>
        <item x="5"/>
        <item x="0"/>
        <item x="6"/>
        <item x="1"/>
        <item x="10"/>
        <item x="9"/>
        <item x="2"/>
        <item x="7"/>
        <item x="3"/>
        <item x="4"/>
        <item t="default"/>
      </items>
    </pivotField>
    <pivotField axis="axisCol" dataField="1" showAll="0">
      <items count="8">
        <item m="1" x="5"/>
        <item x="2"/>
        <item x="0"/>
        <item x="1"/>
        <item x="4"/>
        <item x="3"/>
        <item m="1" x="6"/>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7"/>
  </rowFields>
  <rowItems count="12">
    <i>
      <x/>
    </i>
    <i>
      <x v="1"/>
    </i>
    <i>
      <x v="2"/>
    </i>
    <i>
      <x v="3"/>
    </i>
    <i>
      <x v="4"/>
    </i>
    <i>
      <x v="5"/>
    </i>
    <i>
      <x v="6"/>
    </i>
    <i>
      <x v="7"/>
    </i>
    <i>
      <x v="8"/>
    </i>
    <i>
      <x v="9"/>
    </i>
    <i>
      <x v="10"/>
    </i>
    <i t="grand">
      <x/>
    </i>
  </rowItems>
  <colFields count="1">
    <field x="18"/>
  </colFields>
  <colItems count="6">
    <i>
      <x v="1"/>
    </i>
    <i>
      <x v="2"/>
    </i>
    <i>
      <x v="3"/>
    </i>
    <i>
      <x v="4"/>
    </i>
    <i>
      <x v="5"/>
    </i>
    <i t="grand">
      <x/>
    </i>
  </colItems>
  <dataFields count="1">
    <dataField name="Count of place_category" fld="18" subtotal="count" baseField="0" baseItem="0"/>
  </dataFields>
  <formats count="4">
    <format dxfId="140">
      <pivotArea outline="0" collapsedLevelsAreSubtotals="1" fieldPosition="0">
        <references count="1">
          <reference field="18" count="0" selected="0"/>
        </references>
      </pivotArea>
    </format>
    <format dxfId="139">
      <pivotArea dataOnly="0" labelOnly="1" fieldPosition="0">
        <references count="1">
          <reference field="18" count="0"/>
        </references>
      </pivotArea>
    </format>
    <format dxfId="138">
      <pivotArea grandCol="1" outline="0" collapsedLevelsAreSubtotals="1" fieldPosition="0"/>
    </format>
    <format dxfId="137">
      <pivotArea type="origin" dataOnly="0" labelOnly="1" outline="0" fieldPosition="0"/>
    </format>
  </formats>
  <chartFormats count="5">
    <chartFormat chart="0" format="0" series="1">
      <pivotArea type="data" outline="0" fieldPosition="0">
        <references count="2">
          <reference field="4294967294" count="1" selected="0">
            <x v="0"/>
          </reference>
          <reference field="18" count="1" selected="0">
            <x v="1"/>
          </reference>
        </references>
      </pivotArea>
    </chartFormat>
    <chartFormat chart="0" format="1" series="1">
      <pivotArea type="data" outline="0" fieldPosition="0">
        <references count="2">
          <reference field="4294967294" count="1" selected="0">
            <x v="0"/>
          </reference>
          <reference field="18" count="1" selected="0">
            <x v="2"/>
          </reference>
        </references>
      </pivotArea>
    </chartFormat>
    <chartFormat chart="0" format="2" series="1">
      <pivotArea type="data" outline="0" fieldPosition="0">
        <references count="2">
          <reference field="4294967294" count="1" selected="0">
            <x v="0"/>
          </reference>
          <reference field="18" count="1" selected="0">
            <x v="3"/>
          </reference>
        </references>
      </pivotArea>
    </chartFormat>
    <chartFormat chart="0" format="3" series="1">
      <pivotArea type="data" outline="0" fieldPosition="0">
        <references count="2">
          <reference field="4294967294" count="1" selected="0">
            <x v="0"/>
          </reference>
          <reference field="18" count="1" selected="0">
            <x v="4"/>
          </reference>
        </references>
      </pivotArea>
    </chartFormat>
    <chartFormat chart="0" format="4" series="1">
      <pivotArea type="data" outline="0" fieldPosition="0">
        <references count="2">
          <reference field="4294967294" count="1" selected="0">
            <x v="0"/>
          </reference>
          <reference field="18" count="1" selected="0">
            <x v="5"/>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E5F6EB-967C-394A-BAD8-4CA202DEDFD9}"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4:N97" firstHeaderRow="1" firstDataRow="2"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12">
        <item x="8"/>
        <item x="5"/>
        <item x="0"/>
        <item x="6"/>
        <item x="1"/>
        <item x="10"/>
        <item x="9"/>
        <item x="2"/>
        <item x="7"/>
        <item x="3"/>
        <item x="4"/>
        <item t="default"/>
      </items>
    </pivotField>
    <pivotField showAll="0"/>
    <pivotField axis="axisRow" dataField="1" showAll="0">
      <items count="25">
        <item x="0"/>
        <item x="1"/>
        <item x="4"/>
        <item x="6"/>
        <item m="1" x="21"/>
        <item x="18"/>
        <item x="13"/>
        <item x="7"/>
        <item x="8"/>
        <item x="17"/>
        <item x="11"/>
        <item x="12"/>
        <item x="16"/>
        <item x="9"/>
        <item x="3"/>
        <item x="14"/>
        <item x="5"/>
        <item x="2"/>
        <item x="10"/>
        <item x="19"/>
        <item m="1" x="22"/>
        <item x="15"/>
        <item x="20"/>
        <item m="1" x="23"/>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9"/>
  </rowFields>
  <rowItems count="22">
    <i>
      <x/>
    </i>
    <i>
      <x v="1"/>
    </i>
    <i>
      <x v="2"/>
    </i>
    <i>
      <x v="3"/>
    </i>
    <i>
      <x v="5"/>
    </i>
    <i>
      <x v="6"/>
    </i>
    <i>
      <x v="7"/>
    </i>
    <i>
      <x v="8"/>
    </i>
    <i>
      <x v="9"/>
    </i>
    <i>
      <x v="10"/>
    </i>
    <i>
      <x v="11"/>
    </i>
    <i>
      <x v="12"/>
    </i>
    <i>
      <x v="13"/>
    </i>
    <i>
      <x v="14"/>
    </i>
    <i>
      <x v="15"/>
    </i>
    <i>
      <x v="16"/>
    </i>
    <i>
      <x v="17"/>
    </i>
    <i>
      <x v="18"/>
    </i>
    <i>
      <x v="19"/>
    </i>
    <i>
      <x v="21"/>
    </i>
    <i>
      <x v="22"/>
    </i>
    <i t="grand">
      <x/>
    </i>
  </rowItems>
  <colFields count="1">
    <field x="17"/>
  </colFields>
  <colItems count="12">
    <i>
      <x/>
    </i>
    <i>
      <x v="1"/>
    </i>
    <i>
      <x v="2"/>
    </i>
    <i>
      <x v="3"/>
    </i>
    <i>
      <x v="4"/>
    </i>
    <i>
      <x v="5"/>
    </i>
    <i>
      <x v="6"/>
    </i>
    <i>
      <x v="7"/>
    </i>
    <i>
      <x v="8"/>
    </i>
    <i>
      <x v="9"/>
    </i>
    <i>
      <x v="10"/>
    </i>
    <i t="grand">
      <x/>
    </i>
  </colItems>
  <dataFields count="1">
    <dataField name="Count of place_type_1" fld="19" subtotal="count" baseField="0" baseItem="0"/>
  </dataFields>
  <formats count="2">
    <format dxfId="142">
      <pivotArea outline="0" collapsedLevelsAreSubtotals="1" fieldPosition="0">
        <references count="1">
          <reference field="17" count="0" selected="0"/>
        </references>
      </pivotArea>
    </format>
    <format dxfId="141">
      <pivotArea dataOnly="0" labelOnly="1" fieldPosition="0">
        <references count="1">
          <reference field="17" count="0"/>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76D8A8-3873-CE44-9B15-DC7D401C95D2}"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O4:P16" firstHeaderRow="1"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2">
        <item n="Acts of Retaliation/Resistance Against Settler-Colonisers (AR)" x="8"/>
        <item n="Utlising Settler-Colonial Capital, Infrastructure or Goods (CG)" x="5"/>
        <item n="Distribution of Rations (DR)" x="0"/>
        <item n="Forced Relocation to Missions/Reserves (FR)" x="6"/>
        <item n="General Site Reference (GS)" x="1"/>
        <item n="Experiencing Illness or Disease (ID)" x="10"/>
        <item n="Sharing Indigenous Knowledge Cross-Culturally (IK)" x="9"/>
        <item n="Observation or Description of Indigenous Lifeways (OL)" x="2"/>
        <item n="Procuring Food or Resources on Country (PR)" x="7"/>
        <item n="Engaging with Settler-Colonial Economy for Cash or Rations (SE)" x="3"/>
        <item n="Experiencing Physical Violence and/or Death (VD)" x="4"/>
        <item t="default"/>
      </items>
    </pivotField>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7"/>
  </rowFields>
  <rowItems count="12">
    <i>
      <x/>
    </i>
    <i>
      <x v="1"/>
    </i>
    <i>
      <x v="2"/>
    </i>
    <i>
      <x v="3"/>
    </i>
    <i>
      <x v="4"/>
    </i>
    <i>
      <x v="5"/>
    </i>
    <i>
      <x v="6"/>
    </i>
    <i>
      <x v="7"/>
    </i>
    <i>
      <x v="8"/>
    </i>
    <i>
      <x v="9"/>
    </i>
    <i>
      <x v="10"/>
    </i>
    <i t="grand">
      <x/>
    </i>
  </rowItems>
  <colItems count="1">
    <i/>
  </colItems>
  <dataFields count="1">
    <dataField name="% of historical_theme" fld="17" subtotal="count" showDataAs="percentOfTotal" baseField="0" baseItem="0" numFmtId="10"/>
  </dataFields>
  <formats count="2">
    <format dxfId="144">
      <pivotArea dataOnly="0" labelOnly="1" outline="0" axis="axisValues" fieldPosition="0"/>
    </format>
    <format dxfId="143">
      <pivotArea outline="0" fieldPosition="0">
        <references count="1">
          <reference field="4294967294" count="1">
            <x v="0"/>
          </reference>
        </references>
      </pivotArea>
    </format>
  </format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6"/>
          </reference>
        </references>
      </pivotArea>
    </chartFormat>
    <chartFormat chart="0" format="2">
      <pivotArea type="data" outline="0" fieldPosition="0">
        <references count="2">
          <reference field="4294967294" count="1" selected="0">
            <x v="0"/>
          </reference>
          <reference field="17" count="1" selected="0">
            <x v="5"/>
          </reference>
        </references>
      </pivotArea>
    </chartFormat>
    <chartFormat chart="0" format="3">
      <pivotArea type="data" outline="0" fieldPosition="0">
        <references count="2">
          <reference field="4294967294" count="1" selected="0">
            <x v="0"/>
          </reference>
          <reference field="17" count="1" selected="0">
            <x v="0"/>
          </reference>
        </references>
      </pivotArea>
    </chartFormat>
    <chartFormat chart="0" format="4">
      <pivotArea type="data" outline="0" fieldPosition="0">
        <references count="2">
          <reference field="4294967294" count="1" selected="0">
            <x v="0"/>
          </reference>
          <reference field="17" count="1" selected="0">
            <x v="1"/>
          </reference>
        </references>
      </pivotArea>
    </chartFormat>
    <chartFormat chart="0" format="5">
      <pivotArea type="data" outline="0" fieldPosition="0">
        <references count="2">
          <reference field="4294967294" count="1" selected="0">
            <x v="0"/>
          </reference>
          <reference field="17" count="1" selected="0">
            <x v="7"/>
          </reference>
        </references>
      </pivotArea>
    </chartFormat>
    <chartFormat chart="0" format="6">
      <pivotArea type="data" outline="0" fieldPosition="0">
        <references count="2">
          <reference field="4294967294" count="1" selected="0">
            <x v="0"/>
          </reference>
          <reference field="17" count="1" selected="0">
            <x v="8"/>
          </reference>
        </references>
      </pivotArea>
    </chartFormat>
    <chartFormat chart="0" format="7">
      <pivotArea type="data" outline="0" fieldPosition="0">
        <references count="2">
          <reference field="4294967294" count="1" selected="0">
            <x v="0"/>
          </reference>
          <reference field="17" count="1" selected="0">
            <x v="9"/>
          </reference>
        </references>
      </pivotArea>
    </chartFormat>
    <chartFormat chart="0" format="8">
      <pivotArea type="data" outline="0" fieldPosition="0">
        <references count="2">
          <reference field="4294967294" count="1" selected="0">
            <x v="0"/>
          </reference>
          <reference field="17" count="1" selected="0">
            <x v="10"/>
          </reference>
        </references>
      </pivotArea>
    </chartFormat>
    <chartFormat chart="0" format="9">
      <pivotArea type="data" outline="0" fieldPosition="0">
        <references count="2">
          <reference field="4294967294" count="1" selected="0">
            <x v="0"/>
          </reference>
          <reference field="17" count="1" selected="0">
            <x v="2"/>
          </reference>
        </references>
      </pivotArea>
    </chartFormat>
    <chartFormat chart="0" format="10">
      <pivotArea type="data" outline="0" fieldPosition="0">
        <references count="2">
          <reference field="4294967294" count="1" selected="0">
            <x v="0"/>
          </reference>
          <reference field="17" count="1" selected="0">
            <x v="3"/>
          </reference>
        </references>
      </pivotArea>
    </chartFormat>
    <chartFormat chart="0" format="11">
      <pivotArea type="data" outline="0" fieldPosition="0">
        <references count="2">
          <reference field="4294967294" count="1" selected="0">
            <x v="0"/>
          </reference>
          <reference field="17" count="1" selected="0">
            <x v="4"/>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7" count="1" selected="0">
            <x v="5"/>
          </reference>
        </references>
      </pivotArea>
    </chartFormat>
    <chartFormat chart="3" format="2">
      <pivotArea type="data" outline="0" fieldPosition="0">
        <references count="2">
          <reference field="4294967294" count="1" selected="0">
            <x v="0"/>
          </reference>
          <reference field="17" count="1" selected="0">
            <x v="0"/>
          </reference>
        </references>
      </pivotArea>
    </chartFormat>
    <chartFormat chart="3" format="3">
      <pivotArea type="data" outline="0" fieldPosition="0">
        <references count="2">
          <reference field="4294967294" count="1" selected="0">
            <x v="0"/>
          </reference>
          <reference field="17" count="1" selected="0">
            <x v="1"/>
          </reference>
        </references>
      </pivotArea>
    </chartFormat>
    <chartFormat chart="3" format="4">
      <pivotArea type="data" outline="0" fieldPosition="0">
        <references count="2">
          <reference field="4294967294" count="1" selected="0">
            <x v="0"/>
          </reference>
          <reference field="17" count="1" selected="0">
            <x v="2"/>
          </reference>
        </references>
      </pivotArea>
    </chartFormat>
    <chartFormat chart="3" format="5">
      <pivotArea type="data" outline="0" fieldPosition="0">
        <references count="2">
          <reference field="4294967294" count="1" selected="0">
            <x v="0"/>
          </reference>
          <reference field="17" count="1" selected="0">
            <x v="3"/>
          </reference>
        </references>
      </pivotArea>
    </chartFormat>
    <chartFormat chart="3" format="6">
      <pivotArea type="data" outline="0" fieldPosition="0">
        <references count="2">
          <reference field="4294967294" count="1" selected="0">
            <x v="0"/>
          </reference>
          <reference field="17" count="1" selected="0">
            <x v="4"/>
          </reference>
        </references>
      </pivotArea>
    </chartFormat>
    <chartFormat chart="3" format="7">
      <pivotArea type="data" outline="0" fieldPosition="0">
        <references count="2">
          <reference field="4294967294" count="1" selected="0">
            <x v="0"/>
          </reference>
          <reference field="17" count="1" selected="0">
            <x v="6"/>
          </reference>
        </references>
      </pivotArea>
    </chartFormat>
    <chartFormat chart="3" format="8">
      <pivotArea type="data" outline="0" fieldPosition="0">
        <references count="2">
          <reference field="4294967294" count="1" selected="0">
            <x v="0"/>
          </reference>
          <reference field="17" count="1" selected="0">
            <x v="7"/>
          </reference>
        </references>
      </pivotArea>
    </chartFormat>
    <chartFormat chart="3" format="9">
      <pivotArea type="data" outline="0" fieldPosition="0">
        <references count="2">
          <reference field="4294967294" count="1" selected="0">
            <x v="0"/>
          </reference>
          <reference field="17" count="1" selected="0">
            <x v="8"/>
          </reference>
        </references>
      </pivotArea>
    </chartFormat>
    <chartFormat chart="3" format="10">
      <pivotArea type="data" outline="0" fieldPosition="0">
        <references count="2">
          <reference field="4294967294" count="1" selected="0">
            <x v="0"/>
          </reference>
          <reference field="17" count="1" selected="0">
            <x v="9"/>
          </reference>
        </references>
      </pivotArea>
    </chartFormat>
    <chartFormat chart="3" format="11">
      <pivotArea type="data" outline="0" fieldPosition="0">
        <references count="2">
          <reference field="4294967294" count="1" selected="0">
            <x v="0"/>
          </reference>
          <reference field="17" count="1" selected="0">
            <x v="1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5914F5-E8F2-9942-90D9-D7322708805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8:M45" firstHeaderRow="1" firstDataRow="2" firstDataCol="1"/>
  <pivotFields count="28">
    <pivotField showAll="0"/>
    <pivotField showAll="0"/>
    <pivotField showAll="0"/>
    <pivotField showAll="0"/>
    <pivotField showAll="0"/>
    <pivotField showAll="0"/>
    <pivotField showAll="0"/>
    <pivotField showAll="0"/>
    <pivotField showAll="0"/>
    <pivotField showAll="0"/>
    <pivotField showAll="0"/>
    <pivotField axis="axisCol" showAll="0">
      <items count="11">
        <item x="1"/>
        <item x="7"/>
        <item x="8"/>
        <item x="9"/>
        <item x="4"/>
        <item x="2"/>
        <item x="0"/>
        <item x="5"/>
        <item x="3"/>
        <item x="6"/>
        <item t="default"/>
      </items>
    </pivotField>
    <pivotField showAll="0"/>
    <pivotField showAll="0"/>
    <pivotField showAll="0"/>
    <pivotField showAll="0"/>
    <pivotField showAll="0"/>
    <pivotField showAll="0"/>
    <pivotField axis="axisRow" dataField="1" showAll="0">
      <items count="8">
        <item m="1" x="5"/>
        <item x="2"/>
        <item x="0"/>
        <item x="1"/>
        <item x="4"/>
        <item x="3"/>
        <item m="1" x="6"/>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8"/>
  </rowFields>
  <rowItems count="6">
    <i>
      <x v="1"/>
    </i>
    <i>
      <x v="2"/>
    </i>
    <i>
      <x v="3"/>
    </i>
    <i>
      <x v="4"/>
    </i>
    <i>
      <x v="5"/>
    </i>
    <i t="grand">
      <x/>
    </i>
  </rowItems>
  <colFields count="1">
    <field x="11"/>
  </colFields>
  <colItems count="11">
    <i>
      <x/>
    </i>
    <i>
      <x v="1"/>
    </i>
    <i>
      <x v="2"/>
    </i>
    <i>
      <x v="3"/>
    </i>
    <i>
      <x v="4"/>
    </i>
    <i>
      <x v="5"/>
    </i>
    <i>
      <x v="6"/>
    </i>
    <i>
      <x v="7"/>
    </i>
    <i>
      <x v="8"/>
    </i>
    <i>
      <x v="9"/>
    </i>
    <i t="grand">
      <x/>
    </i>
  </colItems>
  <dataFields count="1">
    <dataField name="Count of place_category" fld="18" subtotal="count"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629486-73F7-2B4A-B03B-54E32B8FB999}"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8:M71" firstHeaderRow="1" firstDataRow="2" firstDataCol="1"/>
  <pivotFields count="28">
    <pivotField showAll="0"/>
    <pivotField showAll="0"/>
    <pivotField showAll="0"/>
    <pivotField showAll="0"/>
    <pivotField showAll="0"/>
    <pivotField showAll="0"/>
    <pivotField showAll="0"/>
    <pivotField showAll="0"/>
    <pivotField showAll="0"/>
    <pivotField showAll="0"/>
    <pivotField showAll="0"/>
    <pivotField axis="axisCol" showAll="0">
      <items count="11">
        <item x="1"/>
        <item x="7"/>
        <item x="8"/>
        <item x="9"/>
        <item x="4"/>
        <item x="2"/>
        <item x="0"/>
        <item x="5"/>
        <item x="3"/>
        <item x="6"/>
        <item t="default"/>
      </items>
    </pivotField>
    <pivotField showAll="0"/>
    <pivotField showAll="0"/>
    <pivotField showAll="0"/>
    <pivotField showAll="0"/>
    <pivotField showAll="0"/>
    <pivotField showAll="0"/>
    <pivotField showAll="0"/>
    <pivotField axis="axisRow" dataField="1" showAll="0">
      <items count="25">
        <item x="0"/>
        <item x="1"/>
        <item x="4"/>
        <item x="6"/>
        <item m="1" x="21"/>
        <item x="18"/>
        <item x="13"/>
        <item x="7"/>
        <item x="8"/>
        <item x="17"/>
        <item x="11"/>
        <item x="12"/>
        <item x="16"/>
        <item x="9"/>
        <item x="3"/>
        <item x="14"/>
        <item x="5"/>
        <item x="2"/>
        <item x="10"/>
        <item x="19"/>
        <item m="1" x="22"/>
        <item x="15"/>
        <item x="20"/>
        <item m="1" x="23"/>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9"/>
  </rowFields>
  <rowItems count="22">
    <i>
      <x/>
    </i>
    <i>
      <x v="1"/>
    </i>
    <i>
      <x v="2"/>
    </i>
    <i>
      <x v="3"/>
    </i>
    <i>
      <x v="5"/>
    </i>
    <i>
      <x v="6"/>
    </i>
    <i>
      <x v="7"/>
    </i>
    <i>
      <x v="8"/>
    </i>
    <i>
      <x v="9"/>
    </i>
    <i>
      <x v="10"/>
    </i>
    <i>
      <x v="11"/>
    </i>
    <i>
      <x v="12"/>
    </i>
    <i>
      <x v="13"/>
    </i>
    <i>
      <x v="14"/>
    </i>
    <i>
      <x v="15"/>
    </i>
    <i>
      <x v="16"/>
    </i>
    <i>
      <x v="17"/>
    </i>
    <i>
      <x v="18"/>
    </i>
    <i>
      <x v="19"/>
    </i>
    <i>
      <x v="21"/>
    </i>
    <i>
      <x v="22"/>
    </i>
    <i t="grand">
      <x/>
    </i>
  </rowItems>
  <colFields count="1">
    <field x="11"/>
  </colFields>
  <colItems count="11">
    <i>
      <x/>
    </i>
    <i>
      <x v="1"/>
    </i>
    <i>
      <x v="2"/>
    </i>
    <i>
      <x v="3"/>
    </i>
    <i>
      <x v="4"/>
    </i>
    <i>
      <x v="5"/>
    </i>
    <i>
      <x v="6"/>
    </i>
    <i>
      <x v="7"/>
    </i>
    <i>
      <x v="8"/>
    </i>
    <i>
      <x v="9"/>
    </i>
    <i t="grand">
      <x/>
    </i>
  </colItems>
  <dataFields count="1">
    <dataField name="Count of place_type_1" fld="19" subtotal="count"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78F90B-4103-B24B-BC63-5828426FA314}" name="PivotTable8" cacheId="1" applyNumberFormats="0" applyBorderFormats="0" applyFontFormats="0" applyPatternFormats="0" applyAlignmentFormats="0" applyWidthHeightFormats="1" dataCaption="Values" grandTotalCaption="Grand Total" updatedVersion="8" minRefreshableVersion="3" itemPrintTitles="1" createdVersion="8" indent="0" outline="1" outlineData="1" multipleFieldFilters="0" chartFormat="1">
  <location ref="B22:M35" firstHeaderRow="1" firstDataRow="2" firstDataCol="1"/>
  <pivotFields count="28">
    <pivotField showAll="0"/>
    <pivotField showAll="0"/>
    <pivotField showAll="0"/>
    <pivotField showAll="0"/>
    <pivotField showAll="0"/>
    <pivotField showAll="0"/>
    <pivotField showAll="0"/>
    <pivotField showAll="0"/>
    <pivotField showAll="0"/>
    <pivotField showAll="0"/>
    <pivotField showAll="0"/>
    <pivotField axis="axisCol" dataField="1" showAll="0">
      <items count="11">
        <item x="5"/>
        <item x="6"/>
        <item x="7"/>
        <item x="8"/>
        <item x="9"/>
        <item x="4"/>
        <item x="2"/>
        <item x="0"/>
        <item x="1"/>
        <item n="Unknown _x000a_1840-1900_x000a_" x="3"/>
        <item t="default"/>
      </items>
    </pivotField>
    <pivotField showAll="0"/>
    <pivotField showAll="0"/>
    <pivotField showAll="0"/>
    <pivotField showAll="0"/>
    <pivotField showAll="0"/>
    <pivotField axis="axisRow" showAll="0">
      <items count="12">
        <item x="8"/>
        <item x="5"/>
        <item x="0"/>
        <item x="6"/>
        <item x="1"/>
        <item x="10"/>
        <item x="9"/>
        <item x="2"/>
        <item x="7"/>
        <item x="3"/>
        <item x="4"/>
        <item t="default"/>
      </items>
    </pivotField>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7"/>
  </rowFields>
  <rowItems count="12">
    <i>
      <x/>
    </i>
    <i>
      <x v="1"/>
    </i>
    <i>
      <x v="2"/>
    </i>
    <i>
      <x v="3"/>
    </i>
    <i>
      <x v="4"/>
    </i>
    <i>
      <x v="5"/>
    </i>
    <i>
      <x v="6"/>
    </i>
    <i>
      <x v="7"/>
    </i>
    <i>
      <x v="8"/>
    </i>
    <i>
      <x v="9"/>
    </i>
    <i>
      <x v="10"/>
    </i>
    <i t="grand">
      <x/>
    </i>
  </rowItems>
  <colFields count="1">
    <field x="11"/>
  </colFields>
  <colItems count="11">
    <i>
      <x/>
    </i>
    <i>
      <x v="1"/>
    </i>
    <i>
      <x v="2"/>
    </i>
    <i>
      <x v="3"/>
    </i>
    <i>
      <x v="4"/>
    </i>
    <i>
      <x v="5"/>
    </i>
    <i>
      <x v="6"/>
    </i>
    <i>
      <x v="7"/>
    </i>
    <i>
      <x v="8"/>
    </i>
    <i>
      <x v="9"/>
    </i>
    <i t="grand">
      <x/>
    </i>
  </colItems>
  <dataFields count="1">
    <dataField name="Count of period" fld="11" subtotal="count" baseField="0" baseItem="0"/>
  </dataFields>
  <formats count="5">
    <format dxfId="149">
      <pivotArea outline="0" collapsedLevelsAreSubtotals="1" fieldPosition="0">
        <references count="1">
          <reference field="11" count="0" selected="0"/>
        </references>
      </pivotArea>
    </format>
    <format dxfId="148">
      <pivotArea dataOnly="0" labelOnly="1" fieldPosition="0">
        <references count="1">
          <reference field="11" count="0"/>
        </references>
      </pivotArea>
    </format>
    <format dxfId="147">
      <pivotArea dataOnly="0" grandCol="1" outline="0" axis="axisCol" fieldPosition="0"/>
    </format>
    <format dxfId="146">
      <pivotArea dataOnly="0" labelOnly="1" fieldPosition="0">
        <references count="1">
          <reference field="11" count="1">
            <x v="9"/>
          </reference>
        </references>
      </pivotArea>
    </format>
    <format dxfId="145">
      <pivotArea dataOnly="0" labelOnly="1" fieldPosition="0">
        <references count="1">
          <reference field="11" count="1">
            <x v="9"/>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76D4B45-E5CD-5641-8482-88793E8E33FA}" name="PivotTable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4:C16" firstHeaderRow="1"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2">
        <item x="8"/>
        <item x="5"/>
        <item x="0"/>
        <item x="6"/>
        <item x="1"/>
        <item x="10"/>
        <item x="9"/>
        <item x="2"/>
        <item x="7"/>
        <item x="3"/>
        <item x="4"/>
        <item t="default"/>
      </items>
    </pivotField>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7"/>
  </rowFields>
  <rowItems count="12">
    <i>
      <x/>
    </i>
    <i>
      <x v="1"/>
    </i>
    <i>
      <x v="2"/>
    </i>
    <i>
      <x v="3"/>
    </i>
    <i>
      <x v="4"/>
    </i>
    <i>
      <x v="5"/>
    </i>
    <i>
      <x v="6"/>
    </i>
    <i>
      <x v="7"/>
    </i>
    <i>
      <x v="8"/>
    </i>
    <i>
      <x v="9"/>
    </i>
    <i>
      <x v="10"/>
    </i>
    <i t="grand">
      <x/>
    </i>
  </rowItems>
  <colItems count="1">
    <i/>
  </colItems>
  <dataFields count="1">
    <dataField name="Count of historical_theme" fld="17" subtotal="count" baseField="0" baseItem="0"/>
  </dataFields>
  <formats count="1">
    <format dxfId="150">
      <pivotArea dataOnly="0" labelOnly="1" outline="0" axis="axisValues"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D62713B-9F8A-E840-BABA-5B517B1740F0}" name="PivotTable2" cacheId="1"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18">
  <location ref="A4:C10" firstHeaderRow="0" firstDataRow="1" firstDataCol="1"/>
  <pivotFields count="28">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sortType="ascending">
      <items count="8">
        <item x="2"/>
        <item x="0"/>
        <item x="1"/>
        <item x="4"/>
        <item x="3"/>
        <item h="1" m="1" x="6"/>
        <item h="1" m="1" x="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18"/>
  </rowFields>
  <rowItems count="6">
    <i>
      <x v="2"/>
    </i>
    <i>
      <x v="3"/>
    </i>
    <i>
      <x v="4"/>
    </i>
    <i>
      <x/>
    </i>
    <i>
      <x v="1"/>
    </i>
    <i t="grand">
      <x/>
    </i>
  </rowItems>
  <colFields count="1">
    <field x="-2"/>
  </colFields>
  <colItems count="2">
    <i>
      <x/>
    </i>
    <i i="1">
      <x v="1"/>
    </i>
  </colItems>
  <dataFields count="2">
    <dataField name="Count " fld="18" subtotal="count" baseField="0" baseItem="0"/>
    <dataField name="Count of place_category" fld="18" subtotal="count" showDataAs="percentOfTotal" baseField="18" baseItem="0" numFmtId="10"/>
  </dataFields>
  <formats count="5">
    <format dxfId="77">
      <pivotArea dataOnly="0" outline="0" axis="axisValues" fieldPosition="0"/>
    </format>
    <format dxfId="76">
      <pivotArea outline="0" fieldPosition="0">
        <references count="1">
          <reference field="18" count="0" selected="0"/>
        </references>
      </pivotArea>
    </format>
    <format dxfId="75">
      <pivotArea outline="0" fieldPosition="0">
        <references count="1">
          <reference field="4294967294" count="1">
            <x v="1"/>
          </reference>
        </references>
      </pivotArea>
    </format>
    <format dxfId="74">
      <pivotArea outline="0" fieldPosition="0">
        <references count="1">
          <reference field="4294967294" count="1">
            <x v="0"/>
          </reference>
        </references>
      </pivotArea>
    </format>
    <format dxfId="73">
      <pivotArea dataOnly="0" labelOnly="1" outline="0" fieldPosition="0">
        <references count="1">
          <reference field="18" count="0"/>
        </references>
      </pivotArea>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B548357-F74C-8444-A768-CDAE66F1A87F}" name="PivotTable1" cacheId="1"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5">
  <location ref="A15:C21" firstHeaderRow="1" firstDataRow="1" firstDataCol="2"/>
  <pivotFields count="28">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ascending">
      <items count="105">
        <item m="1" x="103"/>
        <item x="0"/>
        <item x="1"/>
        <item x="2"/>
        <item x="3"/>
        <item x="7"/>
        <item x="8"/>
        <item x="13"/>
        <item x="5"/>
        <item x="14"/>
        <item x="15"/>
        <item x="16"/>
        <item x="6"/>
        <item m="1" x="94"/>
        <item x="20"/>
        <item x="21"/>
        <item x="17"/>
        <item x="11"/>
        <item x="10"/>
        <item x="25"/>
        <item x="26"/>
        <item m="1" x="92"/>
        <item x="18"/>
        <item m="1" x="101"/>
        <item x="19"/>
        <item x="28"/>
        <item x="22"/>
        <item x="27"/>
        <item x="29"/>
        <item x="35"/>
        <item x="36"/>
        <item x="37"/>
        <item x="30"/>
        <item x="32"/>
        <item x="40"/>
        <item x="41"/>
        <item x="42"/>
        <item m="1" x="100"/>
        <item m="1" x="96"/>
        <item x="23"/>
        <item x="43"/>
        <item x="33"/>
        <item m="1" x="99"/>
        <item x="34"/>
        <item m="1" x="97"/>
        <item x="38"/>
        <item x="39"/>
        <item x="48"/>
        <item m="1" x="83"/>
        <item x="49"/>
        <item x="24"/>
        <item x="50"/>
        <item x="51"/>
        <item m="1" x="91"/>
        <item m="1" x="86"/>
        <item m="1" x="87"/>
        <item m="1" x="88"/>
        <item m="1" x="89"/>
        <item x="31"/>
        <item x="4"/>
        <item x="53"/>
        <item x="54"/>
        <item x="55"/>
        <item m="1" x="90"/>
        <item x="44"/>
        <item x="56"/>
        <item x="45"/>
        <item m="1" x="98"/>
        <item x="57"/>
        <item x="58"/>
        <item x="46"/>
        <item x="60"/>
        <item x="61"/>
        <item x="47"/>
        <item x="66"/>
        <item x="9"/>
        <item m="1" x="95"/>
        <item m="1" x="84"/>
        <item x="59"/>
        <item x="68"/>
        <item x="69"/>
        <item x="12"/>
        <item x="70"/>
        <item x="71"/>
        <item x="72"/>
        <item x="73"/>
        <item m="1" x="93"/>
        <item x="52"/>
        <item x="67"/>
        <item m="1" x="85"/>
        <item x="62"/>
        <item x="74"/>
        <item x="75"/>
        <item x="63"/>
        <item x="76"/>
        <item x="77"/>
        <item x="64"/>
        <item x="65"/>
        <item x="78"/>
        <item x="79"/>
        <item x="80"/>
        <item x="81"/>
        <item x="82"/>
        <item m="1" x="102"/>
        <item t="default"/>
      </items>
    </pivotField>
    <pivotField compact="0" outline="0" showAll="0"/>
    <pivotField compact="0" outline="0" showAll="0"/>
    <pivotField compact="0" outline="0" showAll="0"/>
    <pivotField compact="0" outline="0" showAll="0"/>
    <pivotField compact="0" outline="0" showAll="0"/>
    <pivotField axis="axisRow" dataField="1" compact="0" outline="0" showAll="0" sortType="descending">
      <items count="8">
        <item sd="0" x="3"/>
        <item sd="0" x="4"/>
        <item sd="0" x="1"/>
        <item sd="0" x="0"/>
        <item sd="0" x="2"/>
        <item m="1" x="5"/>
        <item m="1" x="6"/>
        <item t="default"/>
      </items>
    </pivotField>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2">
    <field x="18"/>
    <field x="12"/>
  </rowFields>
  <rowItems count="6">
    <i>
      <x/>
    </i>
    <i>
      <x v="1"/>
    </i>
    <i>
      <x v="2"/>
    </i>
    <i>
      <x v="3"/>
    </i>
    <i>
      <x v="4"/>
    </i>
    <i t="grand">
      <x/>
    </i>
  </rowItems>
  <colItems count="1">
    <i/>
  </colItems>
  <dataFields count="1">
    <dataField name="Count of place_category" fld="18" subtotal="count" baseField="0" baseItem="0"/>
  </dataFields>
  <formats count="14">
    <format dxfId="91">
      <pivotArea dataOnly="0" labelOnly="1" outline="0" fieldPosition="0">
        <references count="1">
          <reference field="18" count="0"/>
        </references>
      </pivotArea>
    </format>
    <format dxfId="90">
      <pivotArea dataOnly="0" labelOnly="1" outline="0" fieldPosition="0">
        <references count="1">
          <reference field="18" count="4" defaultSubtotal="1">
            <x v="0"/>
            <x v="1"/>
            <x v="3"/>
            <x v="4"/>
          </reference>
        </references>
      </pivotArea>
    </format>
    <format dxfId="89">
      <pivotArea dataOnly="0" labelOnly="1" outline="0" fieldPosition="0">
        <references count="2">
          <reference field="12" count="38">
            <x v="2"/>
            <x v="5"/>
            <x v="6"/>
            <x v="8"/>
            <x v="12"/>
            <x v="14"/>
            <x v="16"/>
            <x v="21"/>
            <x v="22"/>
            <x v="24"/>
            <x v="25"/>
            <x v="26"/>
            <x v="27"/>
            <x v="28"/>
            <x v="30"/>
            <x v="31"/>
            <x v="32"/>
            <x v="33"/>
            <x v="34"/>
            <x v="41"/>
            <x v="43"/>
            <x v="45"/>
            <x v="46"/>
            <x v="59"/>
            <x v="61"/>
            <x v="63"/>
            <x v="64"/>
            <x v="66"/>
            <x v="68"/>
            <x v="70"/>
            <x v="73"/>
            <x v="75"/>
            <x v="78"/>
            <x v="84"/>
            <x v="89"/>
            <x v="93"/>
            <x v="96"/>
            <x v="97"/>
          </reference>
          <reference field="18" count="1" selected="0">
            <x v="4"/>
          </reference>
        </references>
      </pivotArea>
    </format>
    <format dxfId="88">
      <pivotArea dataOnly="0" labelOnly="1" outline="0" fieldPosition="0">
        <references count="2">
          <reference field="12" count="36">
            <x v="1"/>
            <x v="3"/>
            <x v="5"/>
            <x v="6"/>
            <x v="7"/>
            <x v="8"/>
            <x v="9"/>
            <x v="10"/>
            <x v="11"/>
            <x v="12"/>
            <x v="13"/>
            <x v="14"/>
            <x v="17"/>
            <x v="26"/>
            <x v="29"/>
            <x v="33"/>
            <x v="34"/>
            <x v="36"/>
            <x v="40"/>
            <x v="53"/>
            <x v="55"/>
            <x v="56"/>
            <x v="62"/>
            <x v="70"/>
            <x v="71"/>
            <x v="73"/>
            <x v="75"/>
            <x v="79"/>
            <x v="80"/>
            <x v="81"/>
            <x v="82"/>
            <x v="85"/>
            <x v="86"/>
            <x v="89"/>
            <x v="93"/>
            <x v="95"/>
          </reference>
          <reference field="18" count="1" selected="0">
            <x v="3"/>
          </reference>
        </references>
      </pivotArea>
    </format>
    <format dxfId="87">
      <pivotArea dataOnly="0" labelOnly="1" outline="0" fieldPosition="0">
        <references count="2">
          <reference field="12" count="21">
            <x v="5"/>
            <x v="17"/>
            <x v="18"/>
            <x v="24"/>
            <x v="26"/>
            <x v="35"/>
            <x v="39"/>
            <x v="41"/>
            <x v="58"/>
            <x v="60"/>
            <x v="72"/>
            <x v="73"/>
            <x v="75"/>
            <x v="81"/>
            <x v="87"/>
            <x v="88"/>
            <x v="93"/>
            <x v="94"/>
            <x v="98"/>
            <x v="99"/>
            <x v="102"/>
          </reference>
          <reference field="18" count="1" selected="0">
            <x v="1"/>
          </reference>
        </references>
      </pivotArea>
    </format>
    <format dxfId="86">
      <pivotArea dataOnly="0" labelOnly="1" outline="0" fieldPosition="0">
        <references count="2">
          <reference field="12" count="15">
            <x v="6"/>
            <x v="12"/>
            <x v="13"/>
            <x v="14"/>
            <x v="16"/>
            <x v="19"/>
            <x v="20"/>
            <x v="22"/>
            <x v="73"/>
            <x v="74"/>
            <x v="75"/>
            <x v="76"/>
            <x v="83"/>
            <x v="100"/>
            <x v="101"/>
          </reference>
          <reference field="18" count="1" selected="0">
            <x v="0"/>
          </reference>
        </references>
      </pivotArea>
    </format>
    <format dxfId="85">
      <pivotArea dataOnly="0" labelOnly="1" outline="0" axis="axisValues" fieldPosition="0"/>
    </format>
    <format dxfId="84">
      <pivotArea dataOnly="0" labelOnly="1" outline="0" axis="axisValues" fieldPosition="0"/>
    </format>
    <format dxfId="83">
      <pivotArea outline="0" fieldPosition="0">
        <references count="1">
          <reference field="18" count="0" selected="0" defaultSubtotal="1"/>
        </references>
      </pivotArea>
    </format>
    <format dxfId="82">
      <pivotArea outline="0" fieldPosition="0">
        <references count="1">
          <reference field="18" count="0" selected="0" defaultSubtotal="1"/>
        </references>
      </pivotArea>
    </format>
    <format dxfId="81">
      <pivotArea outline="0" fieldPosition="0">
        <references count="2">
          <reference field="12" count="1" selected="0">
            <x v="49"/>
          </reference>
          <reference field="18" count="1" selected="0">
            <x v="4"/>
          </reference>
        </references>
      </pivotArea>
    </format>
    <format dxfId="80">
      <pivotArea outline="0" fieldPosition="0">
        <references count="2">
          <reference field="12" count="1" selected="0">
            <x v="49"/>
          </reference>
          <reference field="18" count="1" selected="0">
            <x v="4"/>
          </reference>
        </references>
      </pivotArea>
    </format>
    <format dxfId="79">
      <pivotArea outline="0" fieldPosition="0">
        <references count="2">
          <reference field="12" count="1" selected="0">
            <x v="49"/>
          </reference>
          <reference field="18" count="1" selected="0">
            <x v="4"/>
          </reference>
        </references>
      </pivotArea>
    </format>
    <format dxfId="78">
      <pivotArea dataOnly="0" labelOnly="1" outline="0" fieldPosition="0">
        <references count="2">
          <reference field="12" count="1">
            <x v="49"/>
          </reference>
          <reference field="18" count="1" selected="0">
            <x v="4"/>
          </reference>
        </references>
      </pivotArea>
    </format>
  </format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 chart="0" format="3">
      <pivotArea type="data" outline="0" fieldPosition="0">
        <references count="2">
          <reference field="4294967294" count="1" selected="0">
            <x v="0"/>
          </reference>
          <reference field="18" count="1" selected="0">
            <x v="2"/>
          </reference>
        </references>
      </pivotArea>
    </chartFormat>
    <chartFormat chart="0" format="4">
      <pivotArea type="data" outline="0" fieldPosition="0">
        <references count="2">
          <reference field="4294967294" count="1" selected="0">
            <x v="0"/>
          </reference>
          <reference field="18" count="1" selected="0">
            <x v="3"/>
          </reference>
        </references>
      </pivotArea>
    </chartFormat>
    <chartFormat chart="0" format="5">
      <pivotArea type="data" outline="0" fieldPosition="0">
        <references count="2">
          <reference field="4294967294" count="1" selected="0">
            <x v="0"/>
          </reference>
          <reference field="18" count="1" selected="0">
            <x v="4"/>
          </reference>
        </references>
      </pivotArea>
    </chartFormat>
    <chartFormat chart="0" format="6">
      <pivotArea type="data" outline="0" fieldPosition="0">
        <references count="3">
          <reference field="4294967294" count="1" selected="0">
            <x v="0"/>
          </reference>
          <reference field="12" count="1" selected="0">
            <x v="4"/>
          </reference>
          <reference field="18" count="1" selected="0">
            <x v="0"/>
          </reference>
        </references>
      </pivotArea>
    </chartFormat>
    <chartFormat chart="0" format="7">
      <pivotArea type="data" outline="0" fieldPosition="0">
        <references count="3">
          <reference field="4294967294" count="1" selected="0">
            <x v="0"/>
          </reference>
          <reference field="12" count="1" selected="0">
            <x v="6"/>
          </reference>
          <reference field="18" count="1" selected="0">
            <x v="0"/>
          </reference>
        </references>
      </pivotArea>
    </chartFormat>
    <chartFormat chart="0" format="8">
      <pivotArea type="data" outline="0" fieldPosition="0">
        <references count="3">
          <reference field="4294967294" count="1" selected="0">
            <x v="0"/>
          </reference>
          <reference field="12" count="1" selected="0">
            <x v="12"/>
          </reference>
          <reference field="18" count="1" selected="0">
            <x v="0"/>
          </reference>
        </references>
      </pivotArea>
    </chartFormat>
    <chartFormat chart="0" format="9">
      <pivotArea type="data" outline="0" fieldPosition="0">
        <references count="3">
          <reference field="4294967294" count="1" selected="0">
            <x v="0"/>
          </reference>
          <reference field="12" count="1" selected="0">
            <x v="14"/>
          </reference>
          <reference field="18" count="1" selected="0">
            <x v="0"/>
          </reference>
        </references>
      </pivotArea>
    </chartFormat>
    <chartFormat chart="0" format="10">
      <pivotArea type="data" outline="0" fieldPosition="0">
        <references count="3">
          <reference field="4294967294" count="1" selected="0">
            <x v="0"/>
          </reference>
          <reference field="12" count="1" selected="0">
            <x v="16"/>
          </reference>
          <reference field="18" count="1" selected="0">
            <x v="0"/>
          </reference>
        </references>
      </pivotArea>
    </chartFormat>
    <chartFormat chart="0" format="11">
      <pivotArea type="data" outline="0" fieldPosition="0">
        <references count="3">
          <reference field="4294967294" count="1" selected="0">
            <x v="0"/>
          </reference>
          <reference field="12" count="1" selected="0">
            <x v="19"/>
          </reference>
          <reference field="18" count="1" selected="0">
            <x v="0"/>
          </reference>
        </references>
      </pivotArea>
    </chartFormat>
    <chartFormat chart="0" format="12">
      <pivotArea type="data" outline="0" fieldPosition="0">
        <references count="3">
          <reference field="4294967294" count="1" selected="0">
            <x v="0"/>
          </reference>
          <reference field="12" count="1" selected="0">
            <x v="20"/>
          </reference>
          <reference field="18" count="1" selected="0">
            <x v="0"/>
          </reference>
        </references>
      </pivotArea>
    </chartFormat>
    <chartFormat chart="0" format="13">
      <pivotArea type="data" outline="0" fieldPosition="0">
        <references count="3">
          <reference field="4294967294" count="1" selected="0">
            <x v="0"/>
          </reference>
          <reference field="12" count="1" selected="0">
            <x v="22"/>
          </reference>
          <reference field="18" count="1" selected="0">
            <x v="0"/>
          </reference>
        </references>
      </pivotArea>
    </chartFormat>
    <chartFormat chart="0" format="14">
      <pivotArea type="data" outline="0" fieldPosition="0">
        <references count="3">
          <reference field="4294967294" count="1" selected="0">
            <x v="0"/>
          </reference>
          <reference field="12" count="1" selected="0">
            <x v="73"/>
          </reference>
          <reference field="18" count="1" selected="0">
            <x v="0"/>
          </reference>
        </references>
      </pivotArea>
    </chartFormat>
    <chartFormat chart="0" format="15">
      <pivotArea type="data" outline="0" fieldPosition="0">
        <references count="3">
          <reference field="4294967294" count="1" selected="0">
            <x v="0"/>
          </reference>
          <reference field="12" count="1" selected="0">
            <x v="74"/>
          </reference>
          <reference field="18" count="1" selected="0">
            <x v="0"/>
          </reference>
        </references>
      </pivotArea>
    </chartFormat>
    <chartFormat chart="0" format="16">
      <pivotArea type="data" outline="0" fieldPosition="0">
        <references count="3">
          <reference field="4294967294" count="1" selected="0">
            <x v="0"/>
          </reference>
          <reference field="12" count="1" selected="0">
            <x v="75"/>
          </reference>
          <reference field="18" count="1" selected="0">
            <x v="0"/>
          </reference>
        </references>
      </pivotArea>
    </chartFormat>
    <chartFormat chart="0" format="17">
      <pivotArea type="data" outline="0" fieldPosition="0">
        <references count="3">
          <reference field="4294967294" count="1" selected="0">
            <x v="0"/>
          </reference>
          <reference field="12" count="1" selected="0">
            <x v="83"/>
          </reference>
          <reference field="18" count="1" selected="0">
            <x v="0"/>
          </reference>
        </references>
      </pivotArea>
    </chartFormat>
    <chartFormat chart="0" format="18">
      <pivotArea type="data" outline="0" fieldPosition="0">
        <references count="3">
          <reference field="4294967294" count="1" selected="0">
            <x v="0"/>
          </reference>
          <reference field="12" count="1" selected="0">
            <x v="100"/>
          </reference>
          <reference field="18" count="1" selected="0">
            <x v="0"/>
          </reference>
        </references>
      </pivotArea>
    </chartFormat>
    <chartFormat chart="0" format="19">
      <pivotArea type="data" outline="0" fieldPosition="0">
        <references count="3">
          <reference field="4294967294" count="1" selected="0">
            <x v="0"/>
          </reference>
          <reference field="12" count="1" selected="0">
            <x v="101"/>
          </reference>
          <reference field="18"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31073AF-99BD-6544-A074-24A523B00CC8}" name="PivotTable4" cacheId="1" applyNumberFormats="0" applyBorderFormats="0" applyFontFormats="0" applyPatternFormats="0" applyAlignmentFormats="0" applyWidthHeightFormats="1" dataCaption="Values" grandTotalCaption="Total" updatedVersion="8" minRefreshableVersion="3" itemPrintTitles="1" createdVersion="8" indent="0" outline="1" outlineData="1" multipleFieldFilters="0" rowHeaderCaption="place_type">
  <location ref="B41:C45" firstHeaderRow="1"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3"/>
        <item h="1" x="0"/>
        <item x="2"/>
        <item x="1"/>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1"/>
  </rowFields>
  <rowItems count="4">
    <i>
      <x/>
    </i>
    <i>
      <x v="2"/>
    </i>
    <i>
      <x v="3"/>
    </i>
    <i t="grand">
      <x/>
    </i>
  </rowItems>
  <colItems count="1">
    <i/>
  </colItems>
  <dataFields count="1">
    <dataField name="Count of place_type_3" fld="21" subtotal="count"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5D8018C-5317-064F-9916-EA9F94B674AB}" name="PivotTable3" cacheId="1" applyNumberFormats="0" applyBorderFormats="0" applyFontFormats="0" applyPatternFormats="0" applyAlignmentFormats="0" applyWidthHeightFormats="1" dataCaption="Values" grandTotalCaption="Total" updatedVersion="8" minRefreshableVersion="3" itemPrintTitles="1" createdVersion="8" indent="0" outline="1" outlineData="1" multipleFieldFilters="0" rowHeaderCaption="place_type">
  <location ref="B30:C37" firstHeaderRow="1"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9">
        <item x="5"/>
        <item h="1" m="1" x="7"/>
        <item h="1" x="0"/>
        <item x="1"/>
        <item x="3"/>
        <item x="2"/>
        <item x="4"/>
        <item x="6"/>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0"/>
  </rowFields>
  <rowItems count="7">
    <i>
      <x/>
    </i>
    <i>
      <x v="3"/>
    </i>
    <i>
      <x v="4"/>
    </i>
    <i>
      <x v="5"/>
    </i>
    <i>
      <x v="6"/>
    </i>
    <i>
      <x v="7"/>
    </i>
    <i t="grand">
      <x/>
    </i>
  </rowItems>
  <colItems count="1">
    <i/>
  </colItems>
  <dataFields count="1">
    <dataField name="Count of place_type_2" fld="20" subtotal="count"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DFF08D-0B6E-6448-93FD-25831A6C2E07}" name="PivotTable2" cacheId="1" applyNumberFormats="0" applyBorderFormats="0" applyFontFormats="0" applyPatternFormats="0" applyAlignmentFormats="0" applyWidthHeightFormats="1" dataCaption="Values" grandTotalCaption="Total" updatedVersion="8" minRefreshableVersion="3" itemPrintTitles="1" createdVersion="8" indent="0" outline="1" outlineData="1" multipleFieldFilters="0" chartFormat="5" rowHeaderCaption="place_type">
  <location ref="B4:C26" firstHeaderRow="1"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25">
        <item x="0"/>
        <item x="1"/>
        <item x="4"/>
        <item x="6"/>
        <item m="1" x="21"/>
        <item x="7"/>
        <item x="8"/>
        <item x="17"/>
        <item x="11"/>
        <item x="12"/>
        <item x="16"/>
        <item x="9"/>
        <item x="3"/>
        <item x="14"/>
        <item x="5"/>
        <item x="2"/>
        <item x="10"/>
        <item x="19"/>
        <item m="1" x="22"/>
        <item x="15"/>
        <item x="20"/>
        <item m="1" x="23"/>
        <item x="13"/>
        <item x="18"/>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9"/>
  </rowFields>
  <rowItems count="22">
    <i>
      <x/>
    </i>
    <i>
      <x v="1"/>
    </i>
    <i>
      <x v="2"/>
    </i>
    <i>
      <x v="3"/>
    </i>
    <i>
      <x v="5"/>
    </i>
    <i>
      <x v="6"/>
    </i>
    <i>
      <x v="7"/>
    </i>
    <i>
      <x v="8"/>
    </i>
    <i>
      <x v="9"/>
    </i>
    <i>
      <x v="10"/>
    </i>
    <i>
      <x v="11"/>
    </i>
    <i>
      <x v="12"/>
    </i>
    <i>
      <x v="13"/>
    </i>
    <i>
      <x v="14"/>
    </i>
    <i>
      <x v="15"/>
    </i>
    <i>
      <x v="16"/>
    </i>
    <i>
      <x v="17"/>
    </i>
    <i>
      <x v="19"/>
    </i>
    <i>
      <x v="20"/>
    </i>
    <i>
      <x v="22"/>
    </i>
    <i>
      <x v="23"/>
    </i>
    <i t="grand">
      <x/>
    </i>
  </rowItems>
  <colItems count="1">
    <i/>
  </colItems>
  <dataFields count="1">
    <dataField name="Count of place_type_1" fld="19" subtotal="count" baseField="0" baseItem="0"/>
  </dataFields>
  <formats count="1">
    <format dxfId="72">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028AB9E-24FA-BC4C-9317-2B89AD171D85}" name="PivotTable17"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43:E48" firstHeaderRow="1" firstDataRow="2"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8">
        <item m="1" x="5"/>
        <item x="2"/>
        <item x="0"/>
        <item x="1"/>
        <item x="4"/>
        <item x="3"/>
        <item m="1" x="6"/>
        <item t="default"/>
      </items>
    </pivotField>
    <pivotField showAll="0"/>
    <pivotField showAll="0"/>
    <pivotField axis="axisRow" dataField="1" showAll="0">
      <items count="5">
        <item x="3"/>
        <item h="1" x="0"/>
        <item x="2"/>
        <item x="1"/>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1"/>
  </rowFields>
  <rowItems count="4">
    <i>
      <x/>
    </i>
    <i>
      <x v="2"/>
    </i>
    <i>
      <x v="3"/>
    </i>
    <i t="grand">
      <x/>
    </i>
  </rowItems>
  <colFields count="1">
    <field x="18"/>
  </colFields>
  <colItems count="4">
    <i>
      <x v="1"/>
    </i>
    <i>
      <x v="2"/>
    </i>
    <i>
      <x v="5"/>
    </i>
    <i t="grand">
      <x/>
    </i>
  </colItems>
  <dataFields count="1">
    <dataField name="Count of place_type_3" fld="21" subtotal="count" baseField="0" baseItem="0"/>
  </dataFields>
  <formats count="2">
    <format dxfId="64">
      <pivotArea outline="0" collapsedLevelsAreSubtotals="1" fieldPosition="0">
        <references count="1">
          <reference field="18" count="3" selected="0">
            <x v="1"/>
            <x v="2"/>
            <x v="5"/>
          </reference>
        </references>
      </pivotArea>
    </format>
    <format dxfId="63">
      <pivotArea dataOnly="0" labelOnly="1" fieldPosition="0">
        <references count="1">
          <reference field="18" count="3">
            <x v="1"/>
            <x v="2"/>
            <x v="5"/>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7812AA5-A583-8741-B532-B773D261C6C4}" name="PivotTable1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1:E39" firstHeaderRow="1" firstDataRow="2"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8">
        <item m="1" x="5"/>
        <item x="2"/>
        <item x="0"/>
        <item x="1"/>
        <item x="4"/>
        <item x="3"/>
        <item m="1" x="6"/>
        <item t="default"/>
      </items>
    </pivotField>
    <pivotField showAll="0"/>
    <pivotField axis="axisRow" dataField="1" showAll="0">
      <items count="9">
        <item x="5"/>
        <item m="1" x="7"/>
        <item h="1" x="0"/>
        <item x="1"/>
        <item x="3"/>
        <item x="2"/>
        <item x="4"/>
        <item x="6"/>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0"/>
  </rowFields>
  <rowItems count="7">
    <i>
      <x/>
    </i>
    <i>
      <x v="3"/>
    </i>
    <i>
      <x v="4"/>
    </i>
    <i>
      <x v="5"/>
    </i>
    <i>
      <x v="6"/>
    </i>
    <i>
      <x v="7"/>
    </i>
    <i t="grand">
      <x/>
    </i>
  </rowItems>
  <colFields count="1">
    <field x="18"/>
  </colFields>
  <colItems count="4">
    <i>
      <x v="1"/>
    </i>
    <i>
      <x v="2"/>
    </i>
    <i>
      <x v="5"/>
    </i>
    <i t="grand">
      <x/>
    </i>
  </colItems>
  <dataFields count="1">
    <dataField name="Count of place_type_2" fld="20" subtotal="count" baseField="0" baseItem="0"/>
  </dataFields>
  <formats count="2">
    <format dxfId="66">
      <pivotArea outline="0" collapsedLevelsAreSubtotals="1" fieldPosition="0">
        <references count="1">
          <reference field="18" count="3" selected="0">
            <x v="1"/>
            <x v="2"/>
            <x v="5"/>
          </reference>
        </references>
      </pivotArea>
    </format>
    <format dxfId="65">
      <pivotArea dataOnly="0" labelOnly="1" fieldPosition="0">
        <references count="1">
          <reference field="18" count="3">
            <x v="1"/>
            <x v="2"/>
            <x v="5"/>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A250399-2A38-E74C-867B-89C57BE24D3D}" name="PivotTable5" cacheId="1"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4">
  <location ref="A4:G27" firstHeaderRow="1" firstDataRow="2" firstDataCol="1"/>
  <pivotFields count="28">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8">
        <item x="2"/>
        <item x="0"/>
        <item x="1"/>
        <item x="4"/>
        <item x="3"/>
        <item m="1" x="6"/>
        <item m="1" x="5"/>
        <item t="default"/>
      </items>
    </pivotField>
    <pivotField axis="axisRow" dataField="1" compact="0" outline="0" showAll="0">
      <items count="25">
        <item x="0"/>
        <item x="1"/>
        <item x="4"/>
        <item x="6"/>
        <item m="1" x="21"/>
        <item x="7"/>
        <item x="8"/>
        <item x="17"/>
        <item x="11"/>
        <item x="12"/>
        <item x="16"/>
        <item x="9"/>
        <item x="3"/>
        <item x="14"/>
        <item x="5"/>
        <item x="2"/>
        <item x="10"/>
        <item x="19"/>
        <item m="1" x="22"/>
        <item x="15"/>
        <item x="20"/>
        <item m="1" x="23"/>
        <item x="13"/>
        <item x="18"/>
        <item t="default"/>
      </items>
    </pivotField>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19"/>
  </rowFields>
  <rowItems count="22">
    <i>
      <x/>
    </i>
    <i>
      <x v="1"/>
    </i>
    <i>
      <x v="2"/>
    </i>
    <i>
      <x v="3"/>
    </i>
    <i>
      <x v="5"/>
    </i>
    <i>
      <x v="6"/>
    </i>
    <i>
      <x v="7"/>
    </i>
    <i>
      <x v="8"/>
    </i>
    <i>
      <x v="9"/>
    </i>
    <i>
      <x v="10"/>
    </i>
    <i>
      <x v="11"/>
    </i>
    <i>
      <x v="12"/>
    </i>
    <i>
      <x v="13"/>
    </i>
    <i>
      <x v="14"/>
    </i>
    <i>
      <x v="15"/>
    </i>
    <i>
      <x v="16"/>
    </i>
    <i>
      <x v="17"/>
    </i>
    <i>
      <x v="19"/>
    </i>
    <i>
      <x v="20"/>
    </i>
    <i>
      <x v="22"/>
    </i>
    <i>
      <x v="23"/>
    </i>
    <i t="grand">
      <x/>
    </i>
  </rowItems>
  <colFields count="1">
    <field x="18"/>
  </colFields>
  <colItems count="6">
    <i>
      <x/>
    </i>
    <i>
      <x v="1"/>
    </i>
    <i>
      <x v="2"/>
    </i>
    <i>
      <x v="3"/>
    </i>
    <i>
      <x v="4"/>
    </i>
    <i t="grand">
      <x/>
    </i>
  </colItems>
  <dataFields count="1">
    <dataField name="Count of place_type_1" fld="19" subtotal="count" baseField="0" baseItem="0"/>
  </dataFields>
  <formats count="5">
    <format dxfId="71">
      <pivotArea outline="0" fieldPosition="0">
        <references count="1">
          <reference field="19" count="0" selected="0"/>
        </references>
      </pivotArea>
    </format>
    <format dxfId="70">
      <pivotArea dataOnly="0" labelOnly="1" outline="0" fieldPosition="0">
        <references count="1">
          <reference field="19" count="0"/>
        </references>
      </pivotArea>
    </format>
    <format dxfId="69">
      <pivotArea type="origin" dataOnly="0" labelOnly="1" outline="0" fieldPosition="0"/>
    </format>
    <format dxfId="68">
      <pivotArea dataOnly="0" outline="0" fieldPosition="0">
        <references count="1">
          <reference field="18" count="0"/>
        </references>
      </pivotArea>
    </format>
    <format dxfId="67">
      <pivotArea dataOnly="0" labelOnly="1" grandCol="1" outline="0"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FAC62E4-CE0E-B448-B0AD-E9DAFC687FCC}" name="PivotTable1" cacheId="1"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4:B88" firstHeaderRow="1" firstDataRow="1" firstDataCol="1"/>
  <pivotFields count="28">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sortType="descending">
      <items count="105">
        <item x="0"/>
        <item x="1"/>
        <item x="2"/>
        <item x="7"/>
        <item x="8"/>
        <item x="13"/>
        <item x="5"/>
        <item x="6"/>
        <item m="1" x="94"/>
        <item x="20"/>
        <item x="21"/>
        <item x="17"/>
        <item x="25"/>
        <item x="26"/>
        <item m="1" x="92"/>
        <item x="18"/>
        <item m="1" x="101"/>
        <item x="19"/>
        <item x="28"/>
        <item x="22"/>
        <item x="27"/>
        <item x="29"/>
        <item x="36"/>
        <item x="37"/>
        <item x="30"/>
        <item x="41"/>
        <item m="1" x="100"/>
        <item m="1" x="96"/>
        <item x="43"/>
        <item x="33"/>
        <item m="1" x="99"/>
        <item x="34"/>
        <item m="1" x="97"/>
        <item x="38"/>
        <item x="39"/>
        <item x="48"/>
        <item m="1" x="87"/>
        <item x="4"/>
        <item x="53"/>
        <item x="54"/>
        <item m="1" x="90"/>
        <item x="44"/>
        <item x="56"/>
        <item m="1" x="98"/>
        <item x="57"/>
        <item x="58"/>
        <item x="46"/>
        <item x="60"/>
        <item x="61"/>
        <item x="47"/>
        <item x="66"/>
        <item x="9"/>
        <item m="1" x="95"/>
        <item x="59"/>
        <item x="68"/>
        <item x="69"/>
        <item x="12"/>
        <item x="70"/>
        <item x="71"/>
        <item x="72"/>
        <item x="73"/>
        <item m="1" x="85"/>
        <item x="74"/>
        <item x="63"/>
        <item x="76"/>
        <item x="77"/>
        <item x="65"/>
        <item x="79"/>
        <item x="81"/>
        <item m="1" x="102"/>
        <item m="1" x="103"/>
        <item x="14"/>
        <item x="32"/>
        <item x="55"/>
        <item m="1" x="93"/>
        <item x="80"/>
        <item x="23"/>
        <item x="52"/>
        <item x="11"/>
        <item x="31"/>
        <item x="67"/>
        <item x="10"/>
        <item x="64"/>
        <item m="1" x="91"/>
        <item x="75"/>
        <item x="45"/>
        <item x="15"/>
        <item x="16"/>
        <item x="35"/>
        <item x="40"/>
        <item x="42"/>
        <item m="1" x="88"/>
        <item x="78"/>
        <item x="82"/>
        <item m="1" x="84"/>
        <item m="1" x="89"/>
        <item m="1" x="86"/>
        <item x="50"/>
        <item m="1" x="83"/>
        <item x="24"/>
        <item x="49"/>
        <item x="51"/>
        <item x="3"/>
        <item x="6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12"/>
  </rowFields>
  <rowItems count="84">
    <i>
      <x v="51"/>
    </i>
    <i>
      <x v="9"/>
    </i>
    <i>
      <x v="4"/>
    </i>
    <i>
      <x v="28"/>
    </i>
    <i>
      <x v="7"/>
    </i>
    <i>
      <x/>
    </i>
    <i>
      <x v="49"/>
    </i>
    <i>
      <x v="19"/>
    </i>
    <i>
      <x v="35"/>
    </i>
    <i>
      <x v="102"/>
    </i>
    <i>
      <x v="3"/>
    </i>
    <i>
      <x v="63"/>
    </i>
    <i>
      <x v="2"/>
    </i>
    <i>
      <x v="56"/>
    </i>
    <i>
      <x v="20"/>
    </i>
    <i>
      <x v="103"/>
    </i>
    <i>
      <x v="29"/>
    </i>
    <i>
      <x v="65"/>
    </i>
    <i>
      <x v="90"/>
    </i>
    <i>
      <x v="78"/>
    </i>
    <i>
      <x v="5"/>
    </i>
    <i>
      <x v="10"/>
    </i>
    <i>
      <x v="34"/>
    </i>
    <i>
      <x v="72"/>
    </i>
    <i>
      <x v="12"/>
    </i>
    <i>
      <x v="88"/>
    </i>
    <i>
      <x v="46"/>
    </i>
    <i>
      <x v="18"/>
    </i>
    <i>
      <x v="13"/>
    </i>
    <i>
      <x v="71"/>
    </i>
    <i>
      <x v="15"/>
    </i>
    <i>
      <x v="73"/>
    </i>
    <i>
      <x v="6"/>
    </i>
    <i>
      <x v="81"/>
    </i>
    <i>
      <x v="89"/>
    </i>
    <i>
      <x v="11"/>
    </i>
    <i>
      <x v="100"/>
    </i>
    <i>
      <x v="17"/>
    </i>
    <i>
      <x v="99"/>
    </i>
    <i>
      <x v="86"/>
    </i>
    <i>
      <x v="77"/>
    </i>
    <i>
      <x v="41"/>
    </i>
    <i>
      <x v="50"/>
    </i>
    <i>
      <x v="45"/>
    </i>
    <i>
      <x v="1"/>
    </i>
    <i>
      <x v="48"/>
    </i>
    <i>
      <x v="53"/>
    </i>
    <i>
      <x v="75"/>
    </i>
    <i>
      <x v="22"/>
    </i>
    <i>
      <x v="79"/>
    </i>
    <i>
      <x v="31"/>
    </i>
    <i>
      <x v="84"/>
    </i>
    <i>
      <x v="33"/>
    </i>
    <i>
      <x v="25"/>
    </i>
    <i>
      <x v="97"/>
    </i>
    <i>
      <x v="93"/>
    </i>
    <i>
      <x v="23"/>
    </i>
    <i>
      <x v="42"/>
    </i>
    <i>
      <x v="24"/>
    </i>
    <i>
      <x v="76"/>
    </i>
    <i>
      <x v="60"/>
    </i>
    <i>
      <x v="44"/>
    </i>
    <i>
      <x v="62"/>
    </i>
    <i>
      <x v="80"/>
    </i>
    <i>
      <x v="37"/>
    </i>
    <i>
      <x v="82"/>
    </i>
    <i>
      <x v="64"/>
    </i>
    <i>
      <x v="85"/>
    </i>
    <i>
      <x v="38"/>
    </i>
    <i>
      <x v="87"/>
    </i>
    <i>
      <x v="66"/>
    </i>
    <i>
      <x v="47"/>
    </i>
    <i>
      <x v="67"/>
    </i>
    <i>
      <x v="92"/>
    </i>
    <i>
      <x v="68"/>
    </i>
    <i>
      <x v="21"/>
    </i>
    <i>
      <x v="39"/>
    </i>
    <i>
      <x v="57"/>
    </i>
    <i>
      <x v="101"/>
    </i>
    <i>
      <x v="58"/>
    </i>
    <i>
      <x v="59"/>
    </i>
    <i>
      <x v="54"/>
    </i>
    <i>
      <x v="55"/>
    </i>
    <i t="grand">
      <x/>
    </i>
  </rowItems>
  <colItems count="1">
    <i/>
  </colItems>
  <dataFields count="1">
    <dataField name="Count of place_name" fld="12" subtotal="count" baseField="0" baseItem="0"/>
  </dataFields>
  <formats count="10">
    <format dxfId="62">
      <pivotArea type="all" dataOnly="0" outline="0" fieldPosition="0"/>
    </format>
    <format dxfId="61">
      <pivotArea outline="0" collapsedLevelsAreSubtotals="1" fieldPosition="0"/>
    </format>
    <format dxfId="60">
      <pivotArea field="12" type="button" dataOnly="0" labelOnly="1" outline="0" axis="axisRow" fieldPosition="0"/>
    </format>
    <format dxfId="59">
      <pivotArea dataOnly="0" labelOnly="1" grandRow="1" outline="0" fieldPosition="0"/>
    </format>
    <format dxfId="58">
      <pivotArea dataOnly="0" labelOnly="1" outline="0" axis="axisValues" fieldPosition="0"/>
    </format>
    <format dxfId="57">
      <pivotArea dataOnly="0" labelOnly="1" outline="0" fieldPosition="0">
        <references count="1">
          <reference field="12" count="1">
            <x v="51"/>
          </reference>
        </references>
      </pivotArea>
    </format>
    <format dxfId="56">
      <pivotArea outline="0" fieldPosition="0">
        <references count="1">
          <reference field="12" count="0" selected="0"/>
        </references>
      </pivotArea>
    </format>
    <format dxfId="55">
      <pivotArea dataOnly="0" labelOnly="1" outline="0" fieldPosition="0">
        <references count="1">
          <reference field="12" count="50">
            <x v="0"/>
            <x v="2"/>
            <x v="3"/>
            <x v="4"/>
            <x v="5"/>
            <x v="6"/>
            <x v="7"/>
            <x v="8"/>
            <x v="9"/>
            <x v="10"/>
            <x v="11"/>
            <x v="12"/>
            <x v="13"/>
            <x v="15"/>
            <x v="17"/>
            <x v="18"/>
            <x v="19"/>
            <x v="20"/>
            <x v="22"/>
            <x v="24"/>
            <x v="28"/>
            <x v="29"/>
            <x v="34"/>
            <x v="35"/>
            <x v="45"/>
            <x v="46"/>
            <x v="47"/>
            <x v="49"/>
            <x v="50"/>
            <x v="51"/>
            <x v="52"/>
            <x v="56"/>
            <x v="61"/>
            <x v="63"/>
            <x v="65"/>
            <x v="71"/>
            <x v="72"/>
            <x v="73"/>
            <x v="74"/>
            <x v="75"/>
            <x v="78"/>
            <x v="79"/>
            <x v="81"/>
            <x v="83"/>
            <x v="87"/>
            <x v="88"/>
            <x v="89"/>
            <x v="90"/>
            <x v="91"/>
            <x v="93"/>
          </reference>
        </references>
      </pivotArea>
    </format>
    <format dxfId="54">
      <pivotArea dataOnly="0" labelOnly="1" outline="0" fieldPosition="0">
        <references count="1">
          <reference field="12" count="36">
            <x v="1"/>
            <x v="14"/>
            <x v="21"/>
            <x v="23"/>
            <x v="25"/>
            <x v="31"/>
            <x v="33"/>
            <x v="36"/>
            <x v="37"/>
            <x v="38"/>
            <x v="39"/>
            <x v="40"/>
            <x v="41"/>
            <x v="42"/>
            <x v="44"/>
            <x v="48"/>
            <x v="53"/>
            <x v="54"/>
            <x v="55"/>
            <x v="57"/>
            <x v="58"/>
            <x v="59"/>
            <x v="60"/>
            <x v="62"/>
            <x v="64"/>
            <x v="66"/>
            <x v="67"/>
            <x v="68"/>
            <x v="76"/>
            <x v="77"/>
            <x v="80"/>
            <x v="82"/>
            <x v="84"/>
            <x v="85"/>
            <x v="86"/>
            <x v="92"/>
          </reference>
        </references>
      </pivotArea>
    </format>
    <format dxfId="53">
      <pivotArea dataOnly="0" labelOnly="1" outline="0" fieldPosition="0">
        <references count="1">
          <reference field="12" count="1">
            <x v="101"/>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C2A81C9-2295-5D4A-9D9E-67042CBE96DD}" name="PivotTable5" cacheId="1"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G4:H93" firstHeaderRow="1" firstDataRow="1" firstDataCol="2"/>
  <pivotFields count="28">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05">
        <item x="0"/>
        <item x="1"/>
        <item x="2"/>
        <item x="7"/>
        <item x="8"/>
        <item x="13"/>
        <item x="5"/>
        <item x="6"/>
        <item m="1" x="94"/>
        <item x="20"/>
        <item x="21"/>
        <item x="17"/>
        <item x="25"/>
        <item x="26"/>
        <item m="1" x="92"/>
        <item x="18"/>
        <item m="1" x="101"/>
        <item x="19"/>
        <item x="28"/>
        <item x="22"/>
        <item x="27"/>
        <item x="29"/>
        <item x="36"/>
        <item x="37"/>
        <item x="30"/>
        <item x="41"/>
        <item m="1" x="100"/>
        <item m="1" x="96"/>
        <item x="43"/>
        <item x="33"/>
        <item m="1" x="99"/>
        <item x="34"/>
        <item m="1" x="97"/>
        <item x="38"/>
        <item x="39"/>
        <item x="48"/>
        <item m="1" x="87"/>
        <item x="4"/>
        <item x="53"/>
        <item x="54"/>
        <item m="1" x="90"/>
        <item x="44"/>
        <item x="56"/>
        <item m="1" x="98"/>
        <item x="57"/>
        <item x="58"/>
        <item x="46"/>
        <item x="60"/>
        <item x="61"/>
        <item x="47"/>
        <item x="66"/>
        <item x="9"/>
        <item m="1" x="95"/>
        <item x="59"/>
        <item x="68"/>
        <item x="69"/>
        <item x="12"/>
        <item x="70"/>
        <item x="71"/>
        <item x="72"/>
        <item x="73"/>
        <item m="1" x="85"/>
        <item x="74"/>
        <item x="63"/>
        <item x="76"/>
        <item x="77"/>
        <item x="65"/>
        <item x="79"/>
        <item x="81"/>
        <item m="1" x="102"/>
        <item m="1" x="103"/>
        <item x="14"/>
        <item x="32"/>
        <item x="55"/>
        <item m="1" x="93"/>
        <item x="80"/>
        <item x="23"/>
        <item x="52"/>
        <item x="11"/>
        <item x="31"/>
        <item x="67"/>
        <item x="10"/>
        <item x="64"/>
        <item m="1" x="91"/>
        <item x="75"/>
        <item x="45"/>
        <item x="15"/>
        <item x="16"/>
        <item x="35"/>
        <item x="40"/>
        <item x="42"/>
        <item m="1" x="88"/>
        <item x="78"/>
        <item x="82"/>
        <item m="1" x="84"/>
        <item m="1" x="89"/>
        <item m="1" x="86"/>
        <item x="50"/>
        <item m="1" x="83"/>
        <item x="24"/>
        <item x="49"/>
        <item x="51"/>
        <item x="3"/>
        <item x="62"/>
        <item t="default"/>
      </items>
    </pivotField>
    <pivotField compact="0" outline="0" showAll="0"/>
    <pivotField compact="0" outline="0" showAll="0"/>
    <pivotField compact="0" outline="0" showAll="0"/>
    <pivotField axis="axisRow" compact="0" outline="0" showAll="0">
      <items count="9">
        <item m="1" x="5"/>
        <item x="1"/>
        <item m="1" x="4"/>
        <item m="1" x="6"/>
        <item m="1" x="7"/>
        <item x="3"/>
        <item x="2"/>
        <item x="0"/>
        <item t="default"/>
      </items>
    </pivotField>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2">
    <field x="16"/>
    <field x="12"/>
  </rowFields>
  <rowItems count="89">
    <i>
      <x v="1"/>
      <x/>
    </i>
    <i r="1">
      <x v="3"/>
    </i>
    <i r="1">
      <x v="9"/>
    </i>
    <i r="1">
      <x v="65"/>
    </i>
    <i r="1">
      <x v="75"/>
    </i>
    <i r="1">
      <x v="97"/>
    </i>
    <i t="default">
      <x v="1"/>
    </i>
    <i>
      <x v="5"/>
      <x v="10"/>
    </i>
    <i r="1">
      <x v="11"/>
    </i>
    <i r="1">
      <x v="21"/>
    </i>
    <i r="1">
      <x v="22"/>
    </i>
    <i r="1">
      <x v="24"/>
    </i>
    <i r="1">
      <x v="25"/>
    </i>
    <i r="1">
      <x v="29"/>
    </i>
    <i r="1">
      <x v="31"/>
    </i>
    <i r="1">
      <x v="33"/>
    </i>
    <i r="1">
      <x v="37"/>
    </i>
    <i r="1">
      <x v="44"/>
    </i>
    <i r="1">
      <x v="46"/>
    </i>
    <i r="1">
      <x v="48"/>
    </i>
    <i r="1">
      <x v="53"/>
    </i>
    <i r="1">
      <x v="57"/>
    </i>
    <i r="1">
      <x v="58"/>
    </i>
    <i r="1">
      <x v="59"/>
    </i>
    <i r="1">
      <x v="60"/>
    </i>
    <i r="1">
      <x v="66"/>
    </i>
    <i r="1">
      <x v="67"/>
    </i>
    <i r="1">
      <x v="76"/>
    </i>
    <i r="1">
      <x v="77"/>
    </i>
    <i r="1">
      <x v="78"/>
    </i>
    <i r="1">
      <x v="79"/>
    </i>
    <i r="1">
      <x v="80"/>
    </i>
    <i r="1">
      <x v="81"/>
    </i>
    <i r="1">
      <x v="82"/>
    </i>
    <i r="1">
      <x v="84"/>
    </i>
    <i r="1">
      <x v="85"/>
    </i>
    <i t="default">
      <x v="5"/>
    </i>
    <i>
      <x v="6"/>
      <x v="35"/>
    </i>
    <i r="1">
      <x v="102"/>
    </i>
    <i t="default">
      <x v="6"/>
    </i>
    <i>
      <x v="7"/>
      <x/>
    </i>
    <i r="1">
      <x v="1"/>
    </i>
    <i r="1">
      <x v="2"/>
    </i>
    <i r="1">
      <x v="4"/>
    </i>
    <i r="1">
      <x v="5"/>
    </i>
    <i r="1">
      <x v="6"/>
    </i>
    <i r="1">
      <x v="7"/>
    </i>
    <i r="1">
      <x v="12"/>
    </i>
    <i r="1">
      <x v="13"/>
    </i>
    <i r="1">
      <x v="15"/>
    </i>
    <i r="1">
      <x v="17"/>
    </i>
    <i r="1">
      <x v="18"/>
    </i>
    <i r="1">
      <x v="19"/>
    </i>
    <i r="1">
      <x v="20"/>
    </i>
    <i r="1">
      <x v="23"/>
    </i>
    <i r="1">
      <x v="28"/>
    </i>
    <i r="1">
      <x v="34"/>
    </i>
    <i r="1">
      <x v="38"/>
    </i>
    <i r="1">
      <x v="39"/>
    </i>
    <i r="1">
      <x v="41"/>
    </i>
    <i r="1">
      <x v="42"/>
    </i>
    <i r="1">
      <x v="45"/>
    </i>
    <i r="1">
      <x v="47"/>
    </i>
    <i r="1">
      <x v="49"/>
    </i>
    <i r="1">
      <x v="50"/>
    </i>
    <i r="1">
      <x v="51"/>
    </i>
    <i r="1">
      <x v="54"/>
    </i>
    <i r="1">
      <x v="55"/>
    </i>
    <i r="1">
      <x v="56"/>
    </i>
    <i r="1">
      <x v="62"/>
    </i>
    <i r="1">
      <x v="63"/>
    </i>
    <i r="1">
      <x v="64"/>
    </i>
    <i r="1">
      <x v="68"/>
    </i>
    <i r="1">
      <x v="71"/>
    </i>
    <i r="1">
      <x v="72"/>
    </i>
    <i r="1">
      <x v="73"/>
    </i>
    <i r="1">
      <x v="86"/>
    </i>
    <i r="1">
      <x v="87"/>
    </i>
    <i r="1">
      <x v="88"/>
    </i>
    <i r="1">
      <x v="89"/>
    </i>
    <i r="1">
      <x v="90"/>
    </i>
    <i r="1">
      <x v="92"/>
    </i>
    <i r="1">
      <x v="93"/>
    </i>
    <i r="1">
      <x v="99"/>
    </i>
    <i r="1">
      <x v="100"/>
    </i>
    <i r="1">
      <x v="101"/>
    </i>
    <i r="1">
      <x v="103"/>
    </i>
    <i t="default">
      <x v="7"/>
    </i>
    <i t="grand">
      <x/>
    </i>
  </rowItems>
  <colItems count="1">
    <i/>
  </colItems>
  <formats count="15">
    <format dxfId="28">
      <pivotArea type="all" dataOnly="0" outline="0" fieldPosition="0"/>
    </format>
    <format dxfId="27">
      <pivotArea field="16" type="button" dataOnly="0" labelOnly="1" outline="0" axis="axisRow" fieldPosition="0"/>
    </format>
    <format dxfId="26">
      <pivotArea field="12" type="button" dataOnly="0" labelOnly="1" outline="0" axis="axisRow" fieldPosition="1"/>
    </format>
    <format dxfId="25">
      <pivotArea dataOnly="0" labelOnly="1" outline="0" fieldPosition="0">
        <references count="1">
          <reference field="16" count="0"/>
        </references>
      </pivotArea>
    </format>
    <format dxfId="24">
      <pivotArea dataOnly="0" labelOnly="1" outline="0" fieldPosition="0">
        <references count="1">
          <reference field="16" count="0" defaultSubtotal="1"/>
        </references>
      </pivotArea>
    </format>
    <format dxfId="23">
      <pivotArea dataOnly="0" labelOnly="1" grandRow="1" outline="0" fieldPosition="0"/>
    </format>
    <format dxfId="22">
      <pivotArea dataOnly="0" labelOnly="1" outline="0" fieldPosition="0">
        <references count="2">
          <reference field="12" count="6">
            <x v="0"/>
            <x v="3"/>
            <x v="9"/>
            <x v="65"/>
            <x v="75"/>
            <x v="83"/>
          </reference>
          <reference field="16" count="1" selected="0">
            <x v="0"/>
          </reference>
        </references>
      </pivotArea>
    </format>
    <format dxfId="21">
      <pivotArea dataOnly="0" labelOnly="1" outline="0" fieldPosition="0">
        <references count="2">
          <reference field="12" count="50">
            <x v="0"/>
            <x v="1"/>
            <x v="2"/>
            <x v="4"/>
            <x v="5"/>
            <x v="6"/>
            <x v="7"/>
            <x v="12"/>
            <x v="13"/>
            <x v="14"/>
            <x v="15"/>
            <x v="17"/>
            <x v="18"/>
            <x v="19"/>
            <x v="20"/>
            <x v="23"/>
            <x v="28"/>
            <x v="34"/>
            <x v="36"/>
            <x v="38"/>
            <x v="39"/>
            <x v="40"/>
            <x v="41"/>
            <x v="42"/>
            <x v="45"/>
            <x v="47"/>
            <x v="48"/>
            <x v="49"/>
            <x v="50"/>
            <x v="51"/>
            <x v="54"/>
            <x v="55"/>
            <x v="56"/>
            <x v="61"/>
            <x v="62"/>
            <x v="63"/>
            <x v="64"/>
            <x v="68"/>
            <x v="71"/>
            <x v="72"/>
            <x v="73"/>
            <x v="74"/>
            <x v="86"/>
            <x v="87"/>
            <x v="88"/>
            <x v="89"/>
            <x v="90"/>
            <x v="91"/>
            <x v="92"/>
            <x v="93"/>
          </reference>
          <reference field="16" count="1" selected="0">
            <x v="1"/>
          </reference>
        </references>
      </pivotArea>
    </format>
    <format dxfId="20">
      <pivotArea dataOnly="0" labelOnly="1" outline="0" fieldPosition="0">
        <references count="2">
          <reference field="12" count="3">
            <x v="8"/>
            <x v="35"/>
            <x v="52"/>
          </reference>
          <reference field="16" count="1" selected="0">
            <x v="2"/>
          </reference>
        </references>
      </pivotArea>
    </format>
    <format dxfId="19">
      <pivotArea dataOnly="0" labelOnly="1" outline="0" fieldPosition="0">
        <references count="2">
          <reference field="12" count="1">
            <x v="8"/>
          </reference>
          <reference field="16" count="1" selected="0">
            <x v="3"/>
          </reference>
        </references>
      </pivotArea>
    </format>
    <format dxfId="18">
      <pivotArea dataOnly="0" labelOnly="1" outline="0" fieldPosition="0">
        <references count="2">
          <reference field="12" count="28">
            <x v="10"/>
            <x v="11"/>
            <x v="21"/>
            <x v="22"/>
            <x v="24"/>
            <x v="25"/>
            <x v="29"/>
            <x v="31"/>
            <x v="33"/>
            <x v="37"/>
            <x v="44"/>
            <x v="46"/>
            <x v="53"/>
            <x v="57"/>
            <x v="58"/>
            <x v="59"/>
            <x v="60"/>
            <x v="66"/>
            <x v="67"/>
            <x v="76"/>
            <x v="77"/>
            <x v="78"/>
            <x v="79"/>
            <x v="80"/>
            <x v="81"/>
            <x v="82"/>
            <x v="84"/>
            <x v="85"/>
          </reference>
          <reference field="16" count="1" selected="0">
            <x v="5"/>
          </reference>
        </references>
      </pivotArea>
    </format>
    <format dxfId="17">
      <pivotArea dataOnly="0" labelOnly="1" outline="0" fieldPosition="0">
        <references count="2">
          <reference field="12" count="1">
            <x v="83"/>
          </reference>
          <reference field="16" count="1" selected="0">
            <x v="1"/>
          </reference>
        </references>
      </pivotArea>
    </format>
    <format dxfId="16">
      <pivotArea dataOnly="0" labelOnly="1" outline="0" fieldPosition="0">
        <references count="2">
          <reference field="12" count="1">
            <x v="85"/>
          </reference>
          <reference field="16" count="1" selected="0">
            <x v="5"/>
          </reference>
        </references>
      </pivotArea>
    </format>
    <format dxfId="15">
      <pivotArea dataOnly="0" outline="0" fieldPosition="0">
        <references count="1">
          <reference field="12" count="1">
            <x v="52"/>
          </reference>
        </references>
      </pivotArea>
    </format>
    <format dxfId="14">
      <pivotArea dataOnly="0" labelOnly="1" outline="0" fieldPosition="0">
        <references count="2">
          <reference field="12" count="1">
            <x v="93"/>
          </reference>
          <reference field="16" count="1" selected="0">
            <x v="7"/>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98DAB95-6B62-7542-991E-CC0B1911D56D}" name="PivotTable2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rowHeaderCaption="Ranking of coordinates precision">
  <location ref="B4:C9" firstHeaderRow="1"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9">
        <item m="1" x="5"/>
        <item x="1"/>
        <item m="1" x="4"/>
        <item x="3"/>
        <item m="1" x="6"/>
        <item m="1" x="7"/>
        <item x="2"/>
        <item x="0"/>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6"/>
  </rowFields>
  <rowItems count="5">
    <i>
      <x v="1"/>
    </i>
    <i>
      <x v="3"/>
    </i>
    <i>
      <x v="6"/>
    </i>
    <i>
      <x v="7"/>
    </i>
    <i t="grand">
      <x/>
    </i>
  </rowItems>
  <colItems count="1">
    <i/>
  </colItems>
  <dataFields count="1">
    <dataField name="% of coordinates_precision" fld="16" subtotal="count" showDataAs="percentOfTotal" baseField="0" baseItem="0" numFmtId="10"/>
  </dataFields>
  <formats count="8">
    <format dxfId="36">
      <pivotArea type="all" dataOnly="0" outline="0" fieldPosition="0"/>
    </format>
    <format dxfId="35">
      <pivotArea outline="0" collapsedLevelsAreSubtotals="1" fieldPosition="0"/>
    </format>
    <format dxfId="34">
      <pivotArea field="16" type="button" dataOnly="0" labelOnly="1" outline="0" axis="axisRow" fieldPosition="0"/>
    </format>
    <format dxfId="33">
      <pivotArea dataOnly="0" labelOnly="1" fieldPosition="0">
        <references count="1">
          <reference field="16" count="0"/>
        </references>
      </pivotArea>
    </format>
    <format dxfId="32">
      <pivotArea dataOnly="0" labelOnly="1" grandRow="1" outline="0" fieldPosition="0"/>
    </format>
    <format dxfId="31">
      <pivotArea dataOnly="0" labelOnly="1" outline="0" axis="axisValues" fieldPosition="0"/>
    </format>
    <format dxfId="30">
      <pivotArea outline="0" fieldPosition="0">
        <references count="1">
          <reference field="4294967294" count="1">
            <x v="0"/>
          </reference>
        </references>
      </pivotArea>
    </format>
    <format dxfId="29">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0" format="4">
      <pivotArea type="data" outline="0" fieldPosition="0">
        <references count="2">
          <reference field="4294967294" count="1" selected="0">
            <x v="0"/>
          </reference>
          <reference field="16" count="1" selected="0">
            <x v="3"/>
          </reference>
        </references>
      </pivotArea>
    </chartFormat>
    <chartFormat chart="0" format="5">
      <pivotArea type="data" outline="0" fieldPosition="0">
        <references count="2">
          <reference field="4294967294" count="1" selected="0">
            <x v="0"/>
          </reference>
          <reference field="16" count="1" selected="0">
            <x v="4"/>
          </reference>
        </references>
      </pivotArea>
    </chartFormat>
    <chartFormat chart="0" format="6">
      <pivotArea type="data" outline="0" fieldPosition="0">
        <references count="2">
          <reference field="4294967294" count="1" selected="0">
            <x v="0"/>
          </reference>
          <reference field="16" count="1" selected="0">
            <x v="6"/>
          </reference>
        </references>
      </pivotArea>
    </chartFormat>
    <chartFormat chart="0" format="7">
      <pivotArea type="data" outline="0" fieldPosition="0">
        <references count="2">
          <reference field="4294967294" count="1" selected="0">
            <x v="0"/>
          </reference>
          <reference field="16" count="1" selected="0">
            <x v="7"/>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F72CEC9-EB7F-CB4B-8771-70A8FC1B66DB}" name="PivotTable2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J4:O10" firstHeaderRow="1" firstDataRow="2"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sortType="ascending">
      <items count="8">
        <item h="1" m="1" x="5"/>
        <item h="1" m="1" x="6"/>
        <item x="1"/>
        <item x="0"/>
        <item x="2"/>
        <item h="1" m="1" x="4"/>
        <item x="3"/>
        <item t="default"/>
      </items>
    </pivotField>
    <pivotField axis="axisRow" dataField="1" showAll="0">
      <items count="9">
        <item m="1" x="5"/>
        <item x="1"/>
        <item m="1" x="4"/>
        <item x="3"/>
        <item m="1" x="6"/>
        <item m="1" x="7"/>
        <item x="2"/>
        <item x="0"/>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6"/>
  </rowFields>
  <rowItems count="5">
    <i>
      <x v="1"/>
    </i>
    <i>
      <x v="3"/>
    </i>
    <i>
      <x v="6"/>
    </i>
    <i>
      <x v="7"/>
    </i>
    <i t="grand">
      <x/>
    </i>
  </rowItems>
  <colFields count="1">
    <field x="15"/>
  </colFields>
  <colItems count="5">
    <i>
      <x v="2"/>
    </i>
    <i>
      <x v="3"/>
    </i>
    <i>
      <x v="4"/>
    </i>
    <i>
      <x v="6"/>
    </i>
    <i t="grand">
      <x/>
    </i>
  </colItems>
  <dataFields count="1">
    <dataField name="Count of coordinates_precision" fld="16" subtotal="count" baseField="0" baseItem="0"/>
  </dataFields>
  <formats count="16">
    <format dxfId="52">
      <pivotArea outline="0" collapsedLevelsAreSubtotals="1" fieldPosition="0"/>
    </format>
    <format dxfId="51">
      <pivotArea field="16" grandCol="1" collapsedLevelsAreSubtotals="1" axis="axisRow" fieldPosition="0">
        <references count="1">
          <reference field="16" count="0"/>
        </references>
      </pivotArea>
    </format>
    <format dxfId="50">
      <pivotArea type="all" dataOnly="0" outline="0" fieldPosition="0"/>
    </format>
    <format dxfId="49">
      <pivotArea outline="0" collapsedLevelsAreSubtotals="1" fieldPosition="0"/>
    </format>
    <format dxfId="48">
      <pivotArea type="origin" dataOnly="0" labelOnly="1" outline="0" fieldPosition="0"/>
    </format>
    <format dxfId="47">
      <pivotArea field="15" type="button" dataOnly="0" labelOnly="1" outline="0" axis="axisCol" fieldPosition="0"/>
    </format>
    <format dxfId="46">
      <pivotArea type="topRight" dataOnly="0" labelOnly="1" outline="0" fieldPosition="0"/>
    </format>
    <format dxfId="45">
      <pivotArea field="16" type="button" dataOnly="0" labelOnly="1" outline="0" axis="axisRow" fieldPosition="0"/>
    </format>
    <format dxfId="44">
      <pivotArea dataOnly="0" labelOnly="1" fieldPosition="0">
        <references count="1">
          <reference field="16" count="0"/>
        </references>
      </pivotArea>
    </format>
    <format dxfId="43">
      <pivotArea dataOnly="0" labelOnly="1" grandRow="1" outline="0" fieldPosition="0"/>
    </format>
    <format dxfId="42">
      <pivotArea dataOnly="0" labelOnly="1" fieldPosition="0">
        <references count="1">
          <reference field="15" count="0"/>
        </references>
      </pivotArea>
    </format>
    <format dxfId="41">
      <pivotArea dataOnly="0" labelOnly="1" grandCol="1" outline="0" fieldPosition="0"/>
    </format>
    <format dxfId="40">
      <pivotArea dataOnly="0" labelOnly="1" fieldPosition="0">
        <references count="1">
          <reference field="15" count="1">
            <x v="5"/>
          </reference>
        </references>
      </pivotArea>
    </format>
    <format dxfId="39">
      <pivotArea dataOnly="0" labelOnly="1" fieldPosition="0">
        <references count="1">
          <reference field="15" count="0"/>
        </references>
      </pivotArea>
    </format>
    <format dxfId="38">
      <pivotArea grandCol="1" outline="0" collapsedLevelsAreSubtotals="1" fieldPosition="0"/>
    </format>
    <format dxfId="37">
      <pivotArea dataOnly="0" labelOnly="1" grandCol="1" outline="0" fieldPosition="0"/>
    </format>
  </formats>
  <chartFormats count="15">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3"/>
          </reference>
        </references>
      </pivotArea>
    </chartFormat>
    <chartFormat chart="0" format="3" series="1">
      <pivotArea type="data" outline="0" fieldPosition="0">
        <references count="2">
          <reference field="4294967294" count="1" selected="0">
            <x v="0"/>
          </reference>
          <reference field="15" count="1" selected="0">
            <x v="4"/>
          </reference>
        </references>
      </pivotArea>
    </chartFormat>
    <chartFormat chart="0" format="4" series="1">
      <pivotArea type="data" outline="0" fieldPosition="0">
        <references count="2">
          <reference field="4294967294" count="1" selected="0">
            <x v="0"/>
          </reference>
          <reference field="15" count="1" selected="0">
            <x v="5"/>
          </reference>
        </references>
      </pivotArea>
    </chartFormat>
    <chartFormat chart="1" format="0" series="1">
      <pivotArea type="data" outline="0" fieldPosition="0">
        <references count="2">
          <reference field="4294967294" count="1" selected="0">
            <x v="0"/>
          </reference>
          <reference field="15" count="1" selected="0">
            <x v="0"/>
          </reference>
        </references>
      </pivotArea>
    </chartFormat>
    <chartFormat chart="1" format="1" series="1">
      <pivotArea type="data" outline="0" fieldPosition="0">
        <references count="2">
          <reference field="4294967294" count="1" selected="0">
            <x v="0"/>
          </reference>
          <reference field="15" count="1" selected="0">
            <x v="1"/>
          </reference>
        </references>
      </pivotArea>
    </chartFormat>
    <chartFormat chart="1" format="2" series="1">
      <pivotArea type="data" outline="0" fieldPosition="0">
        <references count="2">
          <reference field="4294967294" count="1" selected="0">
            <x v="0"/>
          </reference>
          <reference field="15" count="1" selected="0">
            <x v="3"/>
          </reference>
        </references>
      </pivotArea>
    </chartFormat>
    <chartFormat chart="1" format="3" series="1">
      <pivotArea type="data" outline="0" fieldPosition="0">
        <references count="2">
          <reference field="4294967294" count="1" selected="0">
            <x v="0"/>
          </reference>
          <reference field="15" count="1" selected="0">
            <x v="4"/>
          </reference>
        </references>
      </pivotArea>
    </chartFormat>
    <chartFormat chart="1" format="4" series="1">
      <pivotArea type="data" outline="0" fieldPosition="0">
        <references count="2">
          <reference field="4294967294" count="1" selected="0">
            <x v="0"/>
          </reference>
          <reference field="15" count="1" selected="0">
            <x v="5"/>
          </reference>
        </references>
      </pivotArea>
    </chartFormat>
    <chartFormat chart="2" format="0" series="1">
      <pivotArea type="data" outline="0" fieldPosition="0">
        <references count="2">
          <reference field="4294967294" count="1" selected="0">
            <x v="0"/>
          </reference>
          <reference field="15" count="1" selected="0">
            <x v="0"/>
          </reference>
        </references>
      </pivotArea>
    </chartFormat>
    <chartFormat chart="2" format="1" series="1">
      <pivotArea type="data" outline="0" fieldPosition="0">
        <references count="2">
          <reference field="4294967294" count="1" selected="0">
            <x v="0"/>
          </reference>
          <reference field="15" count="1" selected="0">
            <x v="1"/>
          </reference>
        </references>
      </pivotArea>
    </chartFormat>
    <chartFormat chart="2" format="2" series="1">
      <pivotArea type="data" outline="0" fieldPosition="0">
        <references count="2">
          <reference field="4294967294" count="1" selected="0">
            <x v="0"/>
          </reference>
          <reference field="15" count="1" selected="0">
            <x v="3"/>
          </reference>
        </references>
      </pivotArea>
    </chartFormat>
    <chartFormat chart="2" format="3" series="1">
      <pivotArea type="data" outline="0" fieldPosition="0">
        <references count="2">
          <reference field="4294967294" count="1" selected="0">
            <x v="0"/>
          </reference>
          <reference field="15" count="1" selected="0">
            <x v="4"/>
          </reference>
        </references>
      </pivotArea>
    </chartFormat>
    <chartFormat chart="2" format="4" series="1">
      <pivotArea type="data" outline="0" fieldPosition="0">
        <references count="2">
          <reference field="4294967294" count="1" selected="0">
            <x v="0"/>
          </reference>
          <reference field="15" count="1" selected="0">
            <x v="5"/>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7EF111F-433C-0D40-9BBB-6138C0E23072}" name="PivotTable2" cacheId="1" applyNumberFormats="0" applyBorderFormats="0" applyFontFormats="0" applyPatternFormats="0" applyAlignmentFormats="0" applyWidthHeightFormats="1" dataCaption="Values" grandTotalCaption="Total" updatedVersion="8" minRefreshableVersion="3" itemPrintTitles="1" createdVersion="8" indent="0" outline="1" outlineData="1" multipleFieldFilters="0" chartFormat="1" rowHeaderCaption="(filter on place_name)" colHeaderCaption="">
  <location ref="A3:G88" firstHeaderRow="1" firstDataRow="2"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05">
        <item m="1" x="103"/>
        <item x="0"/>
        <item x="1"/>
        <item x="2"/>
        <item x="3"/>
        <item x="7"/>
        <item x="8"/>
        <item x="13"/>
        <item x="5"/>
        <item x="14"/>
        <item x="15"/>
        <item x="16"/>
        <item x="6"/>
        <item m="1" x="94"/>
        <item x="20"/>
        <item x="21"/>
        <item x="17"/>
        <item x="11"/>
        <item x="10"/>
        <item x="25"/>
        <item x="26"/>
        <item m="1" x="92"/>
        <item x="18"/>
        <item m="1" x="101"/>
        <item x="19"/>
        <item x="28"/>
        <item x="22"/>
        <item x="27"/>
        <item x="29"/>
        <item x="35"/>
        <item x="36"/>
        <item x="37"/>
        <item x="30"/>
        <item x="32"/>
        <item x="40"/>
        <item x="41"/>
        <item x="42"/>
        <item m="1" x="100"/>
        <item m="1" x="96"/>
        <item x="23"/>
        <item x="43"/>
        <item x="33"/>
        <item m="1" x="99"/>
        <item x="34"/>
        <item m="1" x="97"/>
        <item x="38"/>
        <item x="39"/>
        <item x="48"/>
        <item m="1" x="83"/>
        <item x="49"/>
        <item x="24"/>
        <item x="50"/>
        <item x="51"/>
        <item m="1" x="91"/>
        <item m="1" x="86"/>
        <item m="1" x="87"/>
        <item m="1" x="88"/>
        <item m="1" x="89"/>
        <item x="31"/>
        <item x="4"/>
        <item x="53"/>
        <item x="54"/>
        <item x="55"/>
        <item m="1" x="90"/>
        <item x="44"/>
        <item x="56"/>
        <item x="45"/>
        <item m="1" x="98"/>
        <item x="57"/>
        <item x="58"/>
        <item x="46"/>
        <item x="60"/>
        <item x="61"/>
        <item x="47"/>
        <item x="66"/>
        <item x="9"/>
        <item m="1" x="95"/>
        <item m="1" x="84"/>
        <item x="59"/>
        <item x="68"/>
        <item x="69"/>
        <item x="12"/>
        <item x="70"/>
        <item x="71"/>
        <item x="72"/>
        <item x="73"/>
        <item m="1" x="93"/>
        <item x="52"/>
        <item x="67"/>
        <item m="1" x="85"/>
        <item x="62"/>
        <item x="74"/>
        <item x="75"/>
        <item x="63"/>
        <item x="76"/>
        <item x="77"/>
        <item x="64"/>
        <item x="65"/>
        <item x="78"/>
        <item x="79"/>
        <item x="80"/>
        <item x="81"/>
        <item x="82"/>
        <item m="1" x="102"/>
        <item t="default"/>
      </items>
    </pivotField>
    <pivotField showAll="0"/>
    <pivotField showAll="0"/>
    <pivotField showAll="0"/>
    <pivotField showAll="0"/>
    <pivotField showAll="0"/>
    <pivotField axis="axisCol" dataField="1" showAll="0">
      <items count="8">
        <item x="2"/>
        <item x="0"/>
        <item x="1"/>
        <item x="4"/>
        <item x="3"/>
        <item m="1" x="6"/>
        <item m="1" x="5"/>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2"/>
  </rowFields>
  <rowItems count="84">
    <i>
      <x v="1"/>
    </i>
    <i>
      <x v="2"/>
    </i>
    <i>
      <x v="3"/>
    </i>
    <i>
      <x v="4"/>
    </i>
    <i>
      <x v="5"/>
    </i>
    <i>
      <x v="6"/>
    </i>
    <i>
      <x v="7"/>
    </i>
    <i>
      <x v="8"/>
    </i>
    <i>
      <x v="9"/>
    </i>
    <i>
      <x v="10"/>
    </i>
    <i>
      <x v="11"/>
    </i>
    <i>
      <x v="12"/>
    </i>
    <i>
      <x v="14"/>
    </i>
    <i>
      <x v="15"/>
    </i>
    <i>
      <x v="16"/>
    </i>
    <i>
      <x v="17"/>
    </i>
    <i>
      <x v="18"/>
    </i>
    <i>
      <x v="19"/>
    </i>
    <i>
      <x v="20"/>
    </i>
    <i>
      <x v="22"/>
    </i>
    <i>
      <x v="24"/>
    </i>
    <i>
      <x v="25"/>
    </i>
    <i>
      <x v="26"/>
    </i>
    <i>
      <x v="27"/>
    </i>
    <i>
      <x v="28"/>
    </i>
    <i>
      <x v="29"/>
    </i>
    <i>
      <x v="30"/>
    </i>
    <i>
      <x v="31"/>
    </i>
    <i>
      <x v="32"/>
    </i>
    <i>
      <x v="33"/>
    </i>
    <i>
      <x v="34"/>
    </i>
    <i>
      <x v="35"/>
    </i>
    <i>
      <x v="36"/>
    </i>
    <i>
      <x v="39"/>
    </i>
    <i>
      <x v="40"/>
    </i>
    <i>
      <x v="41"/>
    </i>
    <i>
      <x v="43"/>
    </i>
    <i>
      <x v="45"/>
    </i>
    <i>
      <x v="46"/>
    </i>
    <i>
      <x v="47"/>
    </i>
    <i>
      <x v="49"/>
    </i>
    <i>
      <x v="50"/>
    </i>
    <i>
      <x v="51"/>
    </i>
    <i>
      <x v="52"/>
    </i>
    <i>
      <x v="58"/>
    </i>
    <i>
      <x v="59"/>
    </i>
    <i>
      <x v="60"/>
    </i>
    <i>
      <x v="61"/>
    </i>
    <i>
      <x v="62"/>
    </i>
    <i>
      <x v="64"/>
    </i>
    <i>
      <x v="65"/>
    </i>
    <i>
      <x v="66"/>
    </i>
    <i>
      <x v="68"/>
    </i>
    <i>
      <x v="69"/>
    </i>
    <i>
      <x v="70"/>
    </i>
    <i>
      <x v="71"/>
    </i>
    <i>
      <x v="72"/>
    </i>
    <i>
      <x v="73"/>
    </i>
    <i>
      <x v="74"/>
    </i>
    <i>
      <x v="75"/>
    </i>
    <i>
      <x v="78"/>
    </i>
    <i>
      <x v="79"/>
    </i>
    <i>
      <x v="80"/>
    </i>
    <i>
      <x v="81"/>
    </i>
    <i>
      <x v="82"/>
    </i>
    <i>
      <x v="83"/>
    </i>
    <i>
      <x v="84"/>
    </i>
    <i>
      <x v="85"/>
    </i>
    <i>
      <x v="87"/>
    </i>
    <i>
      <x v="88"/>
    </i>
    <i>
      <x v="90"/>
    </i>
    <i>
      <x v="91"/>
    </i>
    <i>
      <x v="92"/>
    </i>
    <i>
      <x v="93"/>
    </i>
    <i>
      <x v="94"/>
    </i>
    <i>
      <x v="95"/>
    </i>
    <i>
      <x v="96"/>
    </i>
    <i>
      <x v="97"/>
    </i>
    <i>
      <x v="98"/>
    </i>
    <i>
      <x v="99"/>
    </i>
    <i>
      <x v="100"/>
    </i>
    <i>
      <x v="101"/>
    </i>
    <i>
      <x v="102"/>
    </i>
    <i t="grand">
      <x/>
    </i>
  </rowItems>
  <colFields count="1">
    <field x="18"/>
  </colFields>
  <colItems count="6">
    <i>
      <x/>
    </i>
    <i>
      <x v="1"/>
    </i>
    <i>
      <x v="2"/>
    </i>
    <i>
      <x v="3"/>
    </i>
    <i>
      <x v="4"/>
    </i>
    <i t="grand">
      <x/>
    </i>
  </colItems>
  <dataFields count="1">
    <dataField name="Count of place_category" fld="18" subtotal="count" baseField="0" baseItem="0"/>
  </dataFields>
  <formats count="10">
    <format dxfId="13">
      <pivotArea field="18" type="button" dataOnly="0" labelOnly="1" outline="0" axis="axisCol" fieldPosition="0"/>
    </format>
    <format dxfId="12">
      <pivotArea field="18" type="button" dataOnly="0" labelOnly="1" outline="0" axis="axisCol" fieldPosition="0"/>
    </format>
    <format dxfId="11">
      <pivotArea field="18" type="button" dataOnly="0" labelOnly="1" outline="0" axis="axisCol" fieldPosition="0"/>
    </format>
    <format dxfId="10">
      <pivotArea field="18" type="button" dataOnly="0" labelOnly="1" outline="0" axis="axisCol" fieldPosition="0"/>
    </format>
    <format dxfId="9">
      <pivotArea outline="0" collapsedLevelsAreSubtotals="1" fieldPosition="0"/>
    </format>
    <format dxfId="8">
      <pivotArea outline="0" collapsedLevelsAreSubtotals="1" fieldPosition="0">
        <references count="1">
          <reference field="18" count="0" selected="0"/>
        </references>
      </pivotArea>
    </format>
    <format dxfId="7">
      <pivotArea field="18" type="button" dataOnly="0" labelOnly="1" outline="0" axis="axisCol" fieldPosition="0"/>
    </format>
    <format dxfId="6">
      <pivotArea type="topRight" dataOnly="0" labelOnly="1" outline="0" fieldPosition="0"/>
    </format>
    <format dxfId="5">
      <pivotArea dataOnly="0" labelOnly="1" fieldPosition="0">
        <references count="1">
          <reference field="18" count="0"/>
        </references>
      </pivotArea>
    </format>
    <format dxfId="4">
      <pivotArea dataOnly="0" grandCol="1" outline="0"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55CB6A8-F227-BD4A-8C6B-B14AD47B09EF}"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M87" firstHeaderRow="1" firstDataRow="2"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5">
        <item m="1" x="103"/>
        <item x="0"/>
        <item x="1"/>
        <item x="2"/>
        <item x="3"/>
        <item x="7"/>
        <item x="8"/>
        <item x="13"/>
        <item x="5"/>
        <item x="14"/>
        <item x="15"/>
        <item x="16"/>
        <item x="6"/>
        <item m="1" x="94"/>
        <item x="20"/>
        <item x="21"/>
        <item x="17"/>
        <item x="11"/>
        <item x="10"/>
        <item x="25"/>
        <item x="26"/>
        <item m="1" x="92"/>
        <item x="18"/>
        <item m="1" x="101"/>
        <item x="19"/>
        <item x="28"/>
        <item x="22"/>
        <item x="27"/>
        <item x="29"/>
        <item x="35"/>
        <item x="36"/>
        <item x="37"/>
        <item x="30"/>
        <item x="32"/>
        <item x="40"/>
        <item x="41"/>
        <item x="42"/>
        <item m="1" x="100"/>
        <item m="1" x="96"/>
        <item x="23"/>
        <item x="43"/>
        <item x="33"/>
        <item m="1" x="99"/>
        <item x="34"/>
        <item m="1" x="97"/>
        <item x="38"/>
        <item x="39"/>
        <item x="48"/>
        <item m="1" x="83"/>
        <item x="49"/>
        <item x="24"/>
        <item x="50"/>
        <item x="51"/>
        <item m="1" x="91"/>
        <item m="1" x="86"/>
        <item m="1" x="87"/>
        <item m="1" x="88"/>
        <item m="1" x="89"/>
        <item x="31"/>
        <item x="4"/>
        <item x="53"/>
        <item x="54"/>
        <item x="55"/>
        <item m="1" x="90"/>
        <item x="44"/>
        <item x="56"/>
        <item x="45"/>
        <item m="1" x="98"/>
        <item x="57"/>
        <item x="58"/>
        <item x="46"/>
        <item x="60"/>
        <item x="61"/>
        <item x="47"/>
        <item x="66"/>
        <item x="9"/>
        <item m="1" x="95"/>
        <item m="1" x="84"/>
        <item x="59"/>
        <item x="68"/>
        <item x="69"/>
        <item x="12"/>
        <item x="70"/>
        <item x="71"/>
        <item x="72"/>
        <item x="73"/>
        <item m="1" x="93"/>
        <item x="52"/>
        <item x="67"/>
        <item m="1" x="85"/>
        <item x="62"/>
        <item x="74"/>
        <item x="75"/>
        <item x="63"/>
        <item x="76"/>
        <item x="77"/>
        <item x="64"/>
        <item x="65"/>
        <item x="78"/>
        <item x="79"/>
        <item x="80"/>
        <item x="81"/>
        <item x="82"/>
        <item m="1" x="102"/>
        <item t="default"/>
      </items>
    </pivotField>
    <pivotField showAll="0"/>
    <pivotField showAll="0"/>
    <pivotField showAll="0"/>
    <pivotField showAll="0"/>
    <pivotField axis="axisCol" dataField="1" showAll="0">
      <items count="12">
        <item x="8"/>
        <item x="5"/>
        <item x="0"/>
        <item x="6"/>
        <item x="1"/>
        <item x="10"/>
        <item x="9"/>
        <item x="2"/>
        <item x="7"/>
        <item x="3"/>
        <item x="4"/>
        <item t="default"/>
      </items>
    </pivotField>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2"/>
  </rowFields>
  <rowItems count="84">
    <i>
      <x v="1"/>
    </i>
    <i>
      <x v="2"/>
    </i>
    <i>
      <x v="3"/>
    </i>
    <i>
      <x v="4"/>
    </i>
    <i>
      <x v="5"/>
    </i>
    <i>
      <x v="6"/>
    </i>
    <i>
      <x v="7"/>
    </i>
    <i>
      <x v="8"/>
    </i>
    <i>
      <x v="9"/>
    </i>
    <i>
      <x v="10"/>
    </i>
    <i>
      <x v="11"/>
    </i>
    <i>
      <x v="12"/>
    </i>
    <i>
      <x v="14"/>
    </i>
    <i>
      <x v="15"/>
    </i>
    <i>
      <x v="16"/>
    </i>
    <i>
      <x v="17"/>
    </i>
    <i>
      <x v="18"/>
    </i>
    <i>
      <x v="19"/>
    </i>
    <i>
      <x v="20"/>
    </i>
    <i>
      <x v="22"/>
    </i>
    <i>
      <x v="24"/>
    </i>
    <i>
      <x v="25"/>
    </i>
    <i>
      <x v="26"/>
    </i>
    <i>
      <x v="27"/>
    </i>
    <i>
      <x v="28"/>
    </i>
    <i>
      <x v="29"/>
    </i>
    <i>
      <x v="30"/>
    </i>
    <i>
      <x v="31"/>
    </i>
    <i>
      <x v="32"/>
    </i>
    <i>
      <x v="33"/>
    </i>
    <i>
      <x v="34"/>
    </i>
    <i>
      <x v="35"/>
    </i>
    <i>
      <x v="36"/>
    </i>
    <i>
      <x v="39"/>
    </i>
    <i>
      <x v="40"/>
    </i>
    <i>
      <x v="41"/>
    </i>
    <i>
      <x v="43"/>
    </i>
    <i>
      <x v="45"/>
    </i>
    <i>
      <x v="46"/>
    </i>
    <i>
      <x v="47"/>
    </i>
    <i>
      <x v="49"/>
    </i>
    <i>
      <x v="50"/>
    </i>
    <i>
      <x v="51"/>
    </i>
    <i>
      <x v="52"/>
    </i>
    <i>
      <x v="58"/>
    </i>
    <i>
      <x v="59"/>
    </i>
    <i>
      <x v="60"/>
    </i>
    <i>
      <x v="61"/>
    </i>
    <i>
      <x v="62"/>
    </i>
    <i>
      <x v="64"/>
    </i>
    <i>
      <x v="65"/>
    </i>
    <i>
      <x v="66"/>
    </i>
    <i>
      <x v="68"/>
    </i>
    <i>
      <x v="69"/>
    </i>
    <i>
      <x v="70"/>
    </i>
    <i>
      <x v="71"/>
    </i>
    <i>
      <x v="72"/>
    </i>
    <i>
      <x v="73"/>
    </i>
    <i>
      <x v="74"/>
    </i>
    <i>
      <x v="75"/>
    </i>
    <i>
      <x v="78"/>
    </i>
    <i>
      <x v="79"/>
    </i>
    <i>
      <x v="80"/>
    </i>
    <i>
      <x v="81"/>
    </i>
    <i>
      <x v="82"/>
    </i>
    <i>
      <x v="83"/>
    </i>
    <i>
      <x v="84"/>
    </i>
    <i>
      <x v="85"/>
    </i>
    <i>
      <x v="87"/>
    </i>
    <i>
      <x v="88"/>
    </i>
    <i>
      <x v="90"/>
    </i>
    <i>
      <x v="91"/>
    </i>
    <i>
      <x v="92"/>
    </i>
    <i>
      <x v="93"/>
    </i>
    <i>
      <x v="94"/>
    </i>
    <i>
      <x v="95"/>
    </i>
    <i>
      <x v="96"/>
    </i>
    <i>
      <x v="97"/>
    </i>
    <i>
      <x v="98"/>
    </i>
    <i>
      <x v="99"/>
    </i>
    <i>
      <x v="100"/>
    </i>
    <i>
      <x v="101"/>
    </i>
    <i>
      <x v="102"/>
    </i>
    <i t="grand">
      <x/>
    </i>
  </rowItems>
  <colFields count="1">
    <field x="17"/>
  </colFields>
  <colItems count="12">
    <i>
      <x/>
    </i>
    <i>
      <x v="1"/>
    </i>
    <i>
      <x v="2"/>
    </i>
    <i>
      <x v="3"/>
    </i>
    <i>
      <x v="4"/>
    </i>
    <i>
      <x v="5"/>
    </i>
    <i>
      <x v="6"/>
    </i>
    <i>
      <x v="7"/>
    </i>
    <i>
      <x v="8"/>
    </i>
    <i>
      <x v="9"/>
    </i>
    <i>
      <x v="10"/>
    </i>
    <i t="grand">
      <x/>
    </i>
  </colItems>
  <dataFields count="1">
    <dataField name="Count of historical_theme" fld="17" subtotal="count" baseField="0" baseItem="0"/>
  </dataFields>
  <formats count="4">
    <format dxfId="3">
      <pivotArea outline="0" collapsedLevelsAreSubtotals="1" fieldPosition="0">
        <references count="1">
          <reference field="17" count="0" selected="0"/>
        </references>
      </pivotArea>
    </format>
    <format dxfId="2">
      <pivotArea field="17" type="button" dataOnly="0" labelOnly="1" outline="0" axis="axisCol" fieldPosition="0"/>
    </format>
    <format dxfId="1">
      <pivotArea type="topRight" dataOnly="0" labelOnly="1" outline="0" fieldPosition="0"/>
    </format>
    <format dxfId="0">
      <pivotArea dataOnly="0" labelOnly="1" fieldPosition="0">
        <references count="1">
          <reference field="17" count="0"/>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1B682D-CF76-8540-A5A1-021E46289E18}" name="Table2" displayName="Table2" ref="A3:C25" totalsRowShown="0" headerRowDxfId="136" headerRowBorderDxfId="135" tableBorderDxfId="134" totalsRowBorderDxfId="133">
  <autoFilter ref="A3:C25" xr:uid="{181B682D-CF76-8540-A5A1-021E46289E18}"/>
  <tableColumns count="3">
    <tableColumn id="1" xr3:uid="{DFD894FC-56B0-4A41-9D48-D4981FCD8BFD}" name="Field Name" dataDxfId="132"/>
    <tableColumn id="2" xr3:uid="{E4BF2319-5F64-9F46-B6F6-09580A258867}" name="Definition" dataDxfId="131"/>
    <tableColumn id="3" xr3:uid="{F8C966A3-DB06-1A4D-B52D-24ACF64A9E29}" name="Type" dataDxfId="130"/>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5CF9090-EB81-2348-AD89-CC2DE4FD2B53}" name="Table311" displayName="Table311" ref="F2:I25" totalsRowShown="0" headerRowDxfId="129" tableBorderDxfId="128">
  <autoFilter ref="F2:I25" xr:uid="{05CF9090-EB81-2348-AD89-CC2DE4FD2B53}"/>
  <tableColumns count="4">
    <tableColumn id="1" xr3:uid="{90E32909-E66B-1A47-AD82-B87964E5B4ED}" name="place_category"/>
    <tableColumn id="2" xr3:uid="{939B2E14-7D63-D74D-B655-9E1091D66DA3}" name="place_category Definition"/>
    <tableColumn id="3" xr3:uid="{DA6CE2AD-D7A4-2C48-A008-535DF114363E}" name="place_type"/>
    <tableColumn id="4" xr3:uid="{33F106A7-63B9-7C4B-8CFA-35B88C148814}" name="place_type Definition"/>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5A3D5A5-93BC-514D-A8DF-12F661E1371A}" name="Table412" displayName="Table412" ref="K2:L5" totalsRowShown="0" headerRowDxfId="127" tableBorderDxfId="126">
  <autoFilter ref="K2:L5" xr:uid="{D5A3D5A5-93BC-514D-A8DF-12F661E1371A}"/>
  <tableColumns count="2">
    <tableColumn id="1" xr3:uid="{910E38D8-0285-1E43-8E9D-9CF331E9099C}" name="Ranking"/>
    <tableColumn id="2" xr3:uid="{A5F378F4-46D6-6143-AB32-D8E1D1ED2F26}" name="Definition"/>
  </tableColumns>
  <tableStyleInfo name="TableStyleLight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51A2335-0CA1-4340-95B4-7385526C39A3}" name="Table7" displayName="Table7" ref="A1:V307" totalsRowShown="0" headerRowDxfId="125" dataDxfId="124">
  <autoFilter ref="A1:V307" xr:uid="{F51A2335-0CA1-4340-95B4-7385526C39A3}"/>
  <tableColumns count="22">
    <tableColumn id="1" xr3:uid="{01F773ED-3365-BB46-8EAB-416A4527DCA9}" name="identifier" dataDxfId="123"/>
    <tableColumn id="2" xr3:uid="{8ED5562E-77DA-D941-BF5B-CFFA5A7496A0}" name="source_document"/>
    <tableColumn id="3" xr3:uid="{65F00CBD-CCF2-7348-A20F-9258E59D7E6A}" name="author_surname" dataDxfId="122"/>
    <tableColumn id="4" xr3:uid="{6EA2009D-E350-C24E-A496-0033744B0F86}" name="author_firstname" dataDxfId="121"/>
    <tableColumn id="20" xr3:uid="{17E5F703-1BAF-AA4D-BD2B-D8BDDE0E4E26}" name="published_in" dataDxfId="120"/>
    <tableColumn id="5" xr3:uid="{66FB13E5-DFF7-B446-9A55-A3948A5E3614}" name="year_published" dataDxfId="119"/>
    <tableColumn id="6" xr3:uid="{49E0CD3E-875A-D54E-B2CF-05639918FC82}" name="page_number" dataDxfId="118"/>
    <tableColumn id="7" xr3:uid="{CD1C35DD-56E0-0A4A-A95E-A31339256CDD}" name="file_location" dataDxfId="117"/>
    <tableColumn id="8" xr3:uid="{E49CB8CE-F920-4248-82E0-E7EC616AEBDE}" name="source_document_quote" dataDxfId="116"/>
    <tableColumn id="9" xr3:uid="{83FB5FAC-00B2-ED44-92C8-1F0A633DA91C}" name="notes" dataDxfId="115"/>
    <tableColumn id="10" xr3:uid="{C441D23C-1CE6-CB41-9581-4FD3E271A37D}" name="year" dataDxfId="114"/>
    <tableColumn id="22" xr3:uid="{66F1D9A7-7223-1445-BE42-8F1DD8DCC1FF}" name="period" dataDxfId="113"/>
    <tableColumn id="11" xr3:uid="{3E22677D-5C88-ED40-944F-C5285234D929}" name="place_name" dataDxfId="112"/>
    <tableColumn id="12" xr3:uid="{A106FD38-1971-9248-9E0D-F06977FCFC2D}" name="latitude" dataDxfId="111"/>
    <tableColumn id="13" xr3:uid="{EBD0B98D-A47E-8A40-92AA-442B208BA992}" name="longitude" dataDxfId="110"/>
    <tableColumn id="14" xr3:uid="{EFF0409A-1228-9C4A-B03A-163C14FDDCFA}" name="coordinates_from" dataDxfId="109"/>
    <tableColumn id="15" xr3:uid="{FF339948-0558-3D4D-A7EA-60271A9DDDC9}" name="coordinates_precision" dataDxfId="108"/>
    <tableColumn id="21" xr3:uid="{2975E994-C26C-224A-9BC7-04134A1D44E0}" name="historical_theme" dataDxfId="107"/>
    <tableColumn id="16" xr3:uid="{299EB9CA-CEA4-284F-B748-C29E05B65B20}" name="place_category" dataDxfId="106"/>
    <tableColumn id="17" xr3:uid="{5BE448CF-E57A-B247-A30F-3ACC39775DBD}" name="place_type_1" dataDxfId="105"/>
    <tableColumn id="18" xr3:uid="{158002BC-0F4F-184C-8EFA-6B20890AF4FD}" name="place_type_2" dataDxfId="104"/>
    <tableColumn id="19" xr3:uid="{C3A6E86A-D72C-5147-819E-BBD50A85BE87}" name="place_type_3" dataDxfId="103"/>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72A31C-FD9A-CE48-84FE-30CC298C79AD}" name="Table1" displayName="Table1" ref="B50:G61" totalsRowShown="0" headerRowDxfId="99" dataDxfId="98">
  <tableColumns count="6">
    <tableColumn id="1" xr3:uid="{69D18637-0091-D24F-99F7-A0C712677294}" name="Time Period" dataDxfId="97"/>
    <tableColumn id="2" xr3:uid="{6707FC34-B078-5749-95E9-2F6C2A820652}" name="Aboriginal Community" dataDxfId="96"/>
    <tableColumn id="3" xr3:uid="{24A63887-816F-9A47-9E9E-99E4950724D2}" name="Autonomous" dataDxfId="95"/>
    <tableColumn id="4" xr3:uid="{D81FAB96-C771-7A48-9686-CDEC6F866333}" name="Mission/Reserve" dataDxfId="94"/>
    <tableColumn id="5" xr3:uid="{5CBF68EF-FD2B-1448-B169-66C604736EBC}" name="Pastoral" dataDxfId="93"/>
    <tableColumn id="6" xr3:uid="{8DFC3C6E-6FBA-F446-B5D8-EA135D6F325C}" name="Total" dataDxfId="92">
      <calculatedColumnFormula>SUM(Table1[[#This Row],[Aboriginal Community]:[Pastoral]])</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5.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9.xml"/><Relationship Id="rId2" Type="http://schemas.openxmlformats.org/officeDocument/2006/relationships/pivotTable" Target="../pivotTables/pivotTable18.xml"/><Relationship Id="rId1" Type="http://schemas.openxmlformats.org/officeDocument/2006/relationships/pivotTable" Target="../pivotTables/pivotTable17.xml"/><Relationship Id="rId4"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23.xml"/><Relationship Id="rId2" Type="http://schemas.openxmlformats.org/officeDocument/2006/relationships/pivotTable" Target="../pivotTables/pivotTable22.xml"/><Relationship Id="rId1" Type="http://schemas.openxmlformats.org/officeDocument/2006/relationships/pivotTable" Target="../pivotTables/pivotTable21.xml"/><Relationship Id="rId4"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24.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542C7-AB2D-4444-A9BF-969FA0FF3790}">
  <sheetPr>
    <pageSetUpPr fitToPage="1"/>
  </sheetPr>
  <dimension ref="A1:K25"/>
  <sheetViews>
    <sheetView tabSelected="1" workbookViewId="0">
      <selection activeCell="A22" sqref="A22"/>
    </sheetView>
  </sheetViews>
  <sheetFormatPr baseColWidth="10" defaultRowHeight="16" x14ac:dyDescent="0.2"/>
  <cols>
    <col min="1" max="1" width="25.5" customWidth="1"/>
    <col min="2" max="2" width="100.5" customWidth="1"/>
    <col min="3" max="3" width="11.83203125" customWidth="1"/>
    <col min="5" max="5" width="16" customWidth="1"/>
    <col min="6" max="6" width="43" customWidth="1"/>
    <col min="7" max="7" width="20.83203125" customWidth="1"/>
    <col min="8" max="8" width="57.5" customWidth="1"/>
    <col min="9" max="9" width="14.83203125" customWidth="1"/>
    <col min="10" max="10" width="17" customWidth="1"/>
    <col min="11" max="12" width="59" customWidth="1"/>
  </cols>
  <sheetData>
    <row r="1" spans="1:11" ht="17" thickBot="1" x14ac:dyDescent="0.25"/>
    <row r="2" spans="1:11" ht="19" x14ac:dyDescent="0.25">
      <c r="A2" s="97" t="s">
        <v>216</v>
      </c>
      <c r="B2" s="98"/>
      <c r="C2" s="99"/>
    </row>
    <row r="3" spans="1:11" x14ac:dyDescent="0.2">
      <c r="A3" s="21" t="s">
        <v>8</v>
      </c>
      <c r="B3" s="22" t="s">
        <v>9</v>
      </c>
      <c r="C3" s="23" t="s">
        <v>10</v>
      </c>
      <c r="J3" s="17"/>
      <c r="K3" s="17"/>
    </row>
    <row r="4" spans="1:11" ht="17" x14ac:dyDescent="0.25">
      <c r="A4" s="24" t="s">
        <v>21</v>
      </c>
      <c r="B4" s="25" t="s">
        <v>113</v>
      </c>
      <c r="C4" s="26" t="s">
        <v>20</v>
      </c>
      <c r="K4" s="19"/>
    </row>
    <row r="5" spans="1:11" x14ac:dyDescent="0.2">
      <c r="A5" s="27" t="s">
        <v>22</v>
      </c>
      <c r="B5" s="25" t="s">
        <v>27</v>
      </c>
      <c r="C5" s="26" t="s">
        <v>19</v>
      </c>
    </row>
    <row r="6" spans="1:11" x14ac:dyDescent="0.2">
      <c r="A6" s="27" t="s">
        <v>272</v>
      </c>
      <c r="B6" s="25" t="s">
        <v>1231</v>
      </c>
      <c r="C6" s="26" t="s">
        <v>19</v>
      </c>
    </row>
    <row r="7" spans="1:11" x14ac:dyDescent="0.2">
      <c r="A7" s="27" t="s">
        <v>273</v>
      </c>
      <c r="B7" s="25" t="s">
        <v>1232</v>
      </c>
      <c r="C7" s="26" t="s">
        <v>19</v>
      </c>
    </row>
    <row r="8" spans="1:11" x14ac:dyDescent="0.2">
      <c r="A8" s="27" t="s">
        <v>943</v>
      </c>
      <c r="B8" s="25" t="s">
        <v>1233</v>
      </c>
      <c r="C8" s="26" t="s">
        <v>1230</v>
      </c>
    </row>
    <row r="9" spans="1:11" x14ac:dyDescent="0.2">
      <c r="A9" s="27" t="s">
        <v>292</v>
      </c>
      <c r="B9" s="25" t="s">
        <v>1225</v>
      </c>
      <c r="C9" s="26" t="s">
        <v>20</v>
      </c>
    </row>
    <row r="10" spans="1:11" x14ac:dyDescent="0.2">
      <c r="A10" s="27" t="s">
        <v>23</v>
      </c>
      <c r="B10" s="25" t="s">
        <v>1236</v>
      </c>
      <c r="C10" s="26" t="s">
        <v>20</v>
      </c>
      <c r="J10" s="100"/>
      <c r="K10" s="100"/>
    </row>
    <row r="11" spans="1:11" x14ac:dyDescent="0.2">
      <c r="A11" s="27" t="s">
        <v>47</v>
      </c>
      <c r="B11" s="25" t="s">
        <v>1226</v>
      </c>
      <c r="C11" s="26" t="s">
        <v>19</v>
      </c>
    </row>
    <row r="12" spans="1:11" x14ac:dyDescent="0.2">
      <c r="A12" s="27" t="s">
        <v>834</v>
      </c>
      <c r="B12" s="25" t="s">
        <v>835</v>
      </c>
      <c r="C12" s="26" t="s">
        <v>1230</v>
      </c>
    </row>
    <row r="13" spans="1:11" x14ac:dyDescent="0.2">
      <c r="A13" s="27" t="s">
        <v>24</v>
      </c>
      <c r="B13" s="25" t="s">
        <v>1237</v>
      </c>
      <c r="C13" s="26" t="s">
        <v>1230</v>
      </c>
    </row>
    <row r="14" spans="1:11" x14ac:dyDescent="0.2">
      <c r="A14" s="27" t="s">
        <v>141</v>
      </c>
      <c r="B14" s="25" t="s">
        <v>1227</v>
      </c>
      <c r="C14" s="26" t="s">
        <v>20</v>
      </c>
    </row>
    <row r="15" spans="1:11" x14ac:dyDescent="0.2">
      <c r="A15" s="27" t="s">
        <v>261</v>
      </c>
      <c r="B15" s="25" t="s">
        <v>1228</v>
      </c>
      <c r="C15" s="26" t="s">
        <v>1230</v>
      </c>
    </row>
    <row r="16" spans="1:11" x14ac:dyDescent="0.2">
      <c r="A16" s="27" t="s">
        <v>25</v>
      </c>
      <c r="B16" s="25" t="s">
        <v>1238</v>
      </c>
      <c r="C16" s="26" t="s">
        <v>19</v>
      </c>
    </row>
    <row r="17" spans="1:3" x14ac:dyDescent="0.2">
      <c r="A17" s="27" t="s">
        <v>26</v>
      </c>
      <c r="B17" s="25" t="s">
        <v>232</v>
      </c>
      <c r="C17" s="26" t="s">
        <v>20</v>
      </c>
    </row>
    <row r="18" spans="1:3" x14ac:dyDescent="0.2">
      <c r="A18" s="27" t="s">
        <v>87</v>
      </c>
      <c r="B18" s="25" t="s">
        <v>233</v>
      </c>
      <c r="C18" s="26" t="s">
        <v>20</v>
      </c>
    </row>
    <row r="19" spans="1:3" x14ac:dyDescent="0.2">
      <c r="A19" s="27" t="s">
        <v>191</v>
      </c>
      <c r="B19" s="25" t="s">
        <v>1239</v>
      </c>
      <c r="C19" s="26" t="s">
        <v>19</v>
      </c>
    </row>
    <row r="20" spans="1:3" x14ac:dyDescent="0.2">
      <c r="A20" s="27" t="s">
        <v>215</v>
      </c>
      <c r="B20" s="25" t="s">
        <v>579</v>
      </c>
      <c r="C20" s="26" t="s">
        <v>19</v>
      </c>
    </row>
    <row r="21" spans="1:3" x14ac:dyDescent="0.2">
      <c r="A21" s="27" t="s">
        <v>1199</v>
      </c>
      <c r="B21" s="25" t="s">
        <v>1229</v>
      </c>
      <c r="C21" s="26" t="s">
        <v>19</v>
      </c>
    </row>
    <row r="22" spans="1:3" x14ac:dyDescent="0.2">
      <c r="A22" s="27" t="s">
        <v>234</v>
      </c>
      <c r="B22" s="25" t="s">
        <v>239</v>
      </c>
      <c r="C22" s="26" t="s">
        <v>19</v>
      </c>
    </row>
    <row r="23" spans="1:3" x14ac:dyDescent="0.2">
      <c r="A23" s="27" t="s">
        <v>235</v>
      </c>
      <c r="B23" s="25" t="s">
        <v>240</v>
      </c>
      <c r="C23" s="26" t="s">
        <v>19</v>
      </c>
    </row>
    <row r="24" spans="1:3" x14ac:dyDescent="0.2">
      <c r="A24" s="27" t="s">
        <v>242</v>
      </c>
      <c r="B24" s="25" t="s">
        <v>240</v>
      </c>
      <c r="C24" s="26" t="s">
        <v>19</v>
      </c>
    </row>
    <row r="25" spans="1:3" x14ac:dyDescent="0.2">
      <c r="A25" s="27" t="s">
        <v>243</v>
      </c>
      <c r="B25" s="25" t="s">
        <v>240</v>
      </c>
      <c r="C25" s="26" t="s">
        <v>19</v>
      </c>
    </row>
  </sheetData>
  <mergeCells count="2">
    <mergeCell ref="A2:C2"/>
    <mergeCell ref="J10:K10"/>
  </mergeCells>
  <pageMargins left="0.7" right="0.7" top="0.75" bottom="0.75" header="0.3" footer="0.3"/>
  <pageSetup paperSize="9" scale="51" orientation="landscape"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137F7-B753-BB41-96E3-3E4F9847B7AE}">
  <dimension ref="B1:L25"/>
  <sheetViews>
    <sheetView zoomScaleNormal="100" workbookViewId="0">
      <selection activeCell="D11" sqref="D11"/>
    </sheetView>
  </sheetViews>
  <sheetFormatPr baseColWidth="10" defaultRowHeight="16" x14ac:dyDescent="0.2"/>
  <cols>
    <col min="1" max="1" width="2.33203125" customWidth="1"/>
    <col min="2" max="2" width="10.83203125" customWidth="1"/>
    <col min="3" max="3" width="50" customWidth="1"/>
    <col min="4" max="4" width="61.33203125" customWidth="1"/>
    <col min="5" max="5" width="3.6640625" customWidth="1"/>
    <col min="6" max="6" width="16" customWidth="1"/>
    <col min="7" max="7" width="47.83203125" customWidth="1"/>
    <col min="8" max="8" width="20.83203125" customWidth="1"/>
    <col min="9" max="9" width="67.6640625" customWidth="1"/>
    <col min="10" max="10" width="3" customWidth="1"/>
    <col min="11" max="11" width="19.33203125" bestFit="1" customWidth="1"/>
    <col min="12" max="12" width="59" customWidth="1"/>
  </cols>
  <sheetData>
    <row r="1" spans="2:12" ht="20" thickBot="1" x14ac:dyDescent="0.3">
      <c r="B1" s="104" t="s">
        <v>1095</v>
      </c>
      <c r="C1" s="105"/>
      <c r="D1" s="106"/>
      <c r="F1" s="101" t="s">
        <v>236</v>
      </c>
      <c r="G1" s="102"/>
      <c r="H1" s="102"/>
      <c r="I1" s="102"/>
      <c r="K1" s="101" t="s">
        <v>578</v>
      </c>
      <c r="L1" s="103"/>
    </row>
    <row r="2" spans="2:12" x14ac:dyDescent="0.2">
      <c r="B2" s="70" t="s">
        <v>966</v>
      </c>
      <c r="C2" s="57" t="s">
        <v>967</v>
      </c>
      <c r="D2" s="71" t="s">
        <v>968</v>
      </c>
      <c r="F2" s="17" t="s">
        <v>234</v>
      </c>
      <c r="G2" s="18" t="s">
        <v>375</v>
      </c>
      <c r="H2" s="17" t="s">
        <v>237</v>
      </c>
      <c r="I2" s="18" t="s">
        <v>376</v>
      </c>
      <c r="K2" s="17" t="s">
        <v>218</v>
      </c>
      <c r="L2" s="17" t="s">
        <v>9</v>
      </c>
    </row>
    <row r="3" spans="2:12" ht="16" customHeight="1" x14ac:dyDescent="0.2">
      <c r="B3" s="72" t="s">
        <v>1140</v>
      </c>
      <c r="C3" s="55" t="s">
        <v>1276</v>
      </c>
      <c r="D3" s="73" t="s">
        <v>1184</v>
      </c>
      <c r="F3" s="31" t="s">
        <v>0</v>
      </c>
      <c r="G3" s="31" t="s">
        <v>241</v>
      </c>
      <c r="H3" s="31" t="s">
        <v>76</v>
      </c>
      <c r="I3" s="31" t="s">
        <v>603</v>
      </c>
      <c r="K3" t="s">
        <v>1218</v>
      </c>
      <c r="L3" t="s">
        <v>1220</v>
      </c>
    </row>
    <row r="4" spans="2:12" ht="16" customHeight="1" x14ac:dyDescent="0.2">
      <c r="B4" s="109" t="s">
        <v>1138</v>
      </c>
      <c r="C4" s="108" t="s">
        <v>1277</v>
      </c>
      <c r="D4" s="107" t="s">
        <v>1185</v>
      </c>
      <c r="F4" s="31"/>
      <c r="G4" s="31"/>
      <c r="H4" s="31" t="s">
        <v>82</v>
      </c>
      <c r="I4" s="31" t="s">
        <v>602</v>
      </c>
      <c r="K4" t="s">
        <v>220</v>
      </c>
      <c r="L4" t="s">
        <v>1221</v>
      </c>
    </row>
    <row r="5" spans="2:12" ht="16" customHeight="1" x14ac:dyDescent="0.2">
      <c r="B5" s="109"/>
      <c r="C5" s="108"/>
      <c r="D5" s="107"/>
      <c r="F5" s="31"/>
      <c r="G5" s="31"/>
      <c r="H5" s="31" t="s">
        <v>75</v>
      </c>
      <c r="I5" s="31" t="s">
        <v>604</v>
      </c>
      <c r="K5" t="s">
        <v>1219</v>
      </c>
      <c r="L5" t="s">
        <v>1222</v>
      </c>
    </row>
    <row r="6" spans="2:12" ht="16" customHeight="1" x14ac:dyDescent="0.2">
      <c r="B6" s="109"/>
      <c r="C6" s="108"/>
      <c r="D6" s="107"/>
      <c r="F6" s="31"/>
      <c r="G6" s="31"/>
      <c r="H6" s="31" t="s">
        <v>205</v>
      </c>
      <c r="I6" s="31" t="s">
        <v>605</v>
      </c>
    </row>
    <row r="7" spans="2:12" ht="16" customHeight="1" thickBot="1" x14ac:dyDescent="0.25">
      <c r="B7" s="72" t="s">
        <v>1146</v>
      </c>
      <c r="C7" s="55" t="s">
        <v>1278</v>
      </c>
      <c r="D7" s="73" t="s">
        <v>1186</v>
      </c>
      <c r="F7" s="32"/>
      <c r="G7" s="32"/>
      <c r="H7" s="32" t="s">
        <v>136</v>
      </c>
      <c r="I7" s="32" t="s">
        <v>606</v>
      </c>
      <c r="K7" s="100" t="s">
        <v>965</v>
      </c>
      <c r="L7" s="100"/>
    </row>
    <row r="8" spans="2:12" ht="16" customHeight="1" x14ac:dyDescent="0.2">
      <c r="B8" s="72" t="s">
        <v>1132</v>
      </c>
      <c r="C8" s="56" t="s">
        <v>1279</v>
      </c>
      <c r="D8" s="73" t="s">
        <v>1243</v>
      </c>
      <c r="F8" s="29" t="s">
        <v>203</v>
      </c>
      <c r="G8" s="29" t="s">
        <v>217</v>
      </c>
      <c r="H8" s="29" t="s">
        <v>90</v>
      </c>
      <c r="I8" s="29" t="s">
        <v>607</v>
      </c>
    </row>
    <row r="9" spans="2:12" ht="16" customHeight="1" x14ac:dyDescent="0.2">
      <c r="B9" s="72" t="s">
        <v>1135</v>
      </c>
      <c r="C9" s="56" t="s">
        <v>1280</v>
      </c>
      <c r="D9" s="73" t="s">
        <v>1187</v>
      </c>
      <c r="F9" s="29"/>
      <c r="G9" s="29"/>
      <c r="H9" s="29" t="s">
        <v>135</v>
      </c>
      <c r="I9" s="29" t="s">
        <v>608</v>
      </c>
    </row>
    <row r="10" spans="2:12" ht="16" customHeight="1" x14ac:dyDescent="0.2">
      <c r="B10" s="72" t="s">
        <v>1150</v>
      </c>
      <c r="C10" s="56" t="s">
        <v>1281</v>
      </c>
      <c r="D10" s="73" t="s">
        <v>1242</v>
      </c>
      <c r="F10" s="29"/>
      <c r="G10" s="29"/>
      <c r="H10" s="29" t="s">
        <v>37</v>
      </c>
      <c r="I10" s="29" t="s">
        <v>609</v>
      </c>
    </row>
    <row r="11" spans="2:12" ht="16" customHeight="1" thickBot="1" x14ac:dyDescent="0.25">
      <c r="B11" s="74" t="s">
        <v>1142</v>
      </c>
      <c r="C11" s="73" t="s">
        <v>1282</v>
      </c>
      <c r="D11" s="73" t="s">
        <v>1275</v>
      </c>
      <c r="F11" s="30"/>
      <c r="G11" s="30"/>
      <c r="H11" s="29" t="s">
        <v>51</v>
      </c>
      <c r="I11" s="29" t="s">
        <v>838</v>
      </c>
    </row>
    <row r="12" spans="2:12" ht="16" customHeight="1" thickBot="1" x14ac:dyDescent="0.25">
      <c r="B12" s="109" t="s">
        <v>1151</v>
      </c>
      <c r="C12" s="110" t="s">
        <v>1283</v>
      </c>
      <c r="D12" s="107" t="s">
        <v>1244</v>
      </c>
      <c r="F12" s="34" t="s">
        <v>66</v>
      </c>
      <c r="G12" s="35" t="s">
        <v>219</v>
      </c>
      <c r="H12" s="34" t="s">
        <v>66</v>
      </c>
      <c r="I12" s="35" t="s">
        <v>610</v>
      </c>
    </row>
    <row r="13" spans="2:12" ht="16" customHeight="1" thickBot="1" x14ac:dyDescent="0.25">
      <c r="B13" s="109"/>
      <c r="C13" s="110"/>
      <c r="D13" s="107"/>
      <c r="F13" s="50" t="s">
        <v>3</v>
      </c>
      <c r="G13" s="51" t="s">
        <v>244</v>
      </c>
      <c r="H13" s="52" t="s">
        <v>3</v>
      </c>
      <c r="I13" s="53" t="s">
        <v>611</v>
      </c>
    </row>
    <row r="14" spans="2:12" ht="16" customHeight="1" x14ac:dyDescent="0.2">
      <c r="B14" s="111" t="s">
        <v>1139</v>
      </c>
      <c r="C14" s="110" t="s">
        <v>1284</v>
      </c>
      <c r="D14" s="107" t="s">
        <v>1241</v>
      </c>
      <c r="F14" s="28" t="s">
        <v>247</v>
      </c>
      <c r="G14" s="28" t="s">
        <v>238</v>
      </c>
      <c r="H14" s="28" t="s">
        <v>75</v>
      </c>
      <c r="I14" s="33" t="s">
        <v>612</v>
      </c>
    </row>
    <row r="15" spans="2:12" ht="16" customHeight="1" x14ac:dyDescent="0.2">
      <c r="B15" s="111"/>
      <c r="C15" s="110"/>
      <c r="D15" s="107"/>
      <c r="F15" s="28"/>
      <c r="G15" s="28"/>
      <c r="H15" s="28" t="s">
        <v>89</v>
      </c>
      <c r="I15" s="28" t="s">
        <v>613</v>
      </c>
    </row>
    <row r="16" spans="2:12" ht="16" customHeight="1" x14ac:dyDescent="0.2">
      <c r="B16" s="74" t="s">
        <v>1134</v>
      </c>
      <c r="C16" s="56" t="s">
        <v>1285</v>
      </c>
      <c r="D16" s="73" t="s">
        <v>1188</v>
      </c>
      <c r="F16" s="28"/>
      <c r="G16" s="28"/>
      <c r="H16" s="28" t="s">
        <v>138</v>
      </c>
      <c r="I16" s="28" t="s">
        <v>837</v>
      </c>
    </row>
    <row r="17" spans="2:9" ht="16" customHeight="1" thickBot="1" x14ac:dyDescent="0.25">
      <c r="B17" s="75" t="s">
        <v>1131</v>
      </c>
      <c r="C17" s="76" t="s">
        <v>1286</v>
      </c>
      <c r="D17" s="77" t="s">
        <v>1240</v>
      </c>
      <c r="F17" s="28"/>
      <c r="G17" s="28"/>
      <c r="H17" s="28" t="s">
        <v>137</v>
      </c>
      <c r="I17" s="28" t="s">
        <v>616</v>
      </c>
    </row>
    <row r="18" spans="2:9" ht="16" customHeight="1" x14ac:dyDescent="0.2">
      <c r="F18" s="28"/>
      <c r="G18" s="28"/>
      <c r="H18" s="28" t="s">
        <v>100</v>
      </c>
      <c r="I18" s="28" t="s">
        <v>615</v>
      </c>
    </row>
    <row r="19" spans="2:9" ht="16" customHeight="1" x14ac:dyDescent="0.2">
      <c r="F19" s="28"/>
      <c r="G19" s="28"/>
      <c r="H19" s="28" t="s">
        <v>98</v>
      </c>
      <c r="I19" s="28" t="s">
        <v>614</v>
      </c>
    </row>
    <row r="20" spans="2:9" ht="16" customHeight="1" x14ac:dyDescent="0.2">
      <c r="F20" s="28"/>
      <c r="G20" s="28"/>
      <c r="H20" s="28" t="s">
        <v>207</v>
      </c>
      <c r="I20" s="28" t="s">
        <v>617</v>
      </c>
    </row>
    <row r="21" spans="2:9" ht="16" customHeight="1" x14ac:dyDescent="0.2">
      <c r="F21" s="28"/>
      <c r="G21" s="28"/>
      <c r="H21" s="28" t="s">
        <v>97</v>
      </c>
      <c r="I21" s="28" t="s">
        <v>618</v>
      </c>
    </row>
    <row r="22" spans="2:9" ht="16" customHeight="1" x14ac:dyDescent="0.2">
      <c r="F22" s="28"/>
      <c r="G22" s="28"/>
      <c r="H22" s="28" t="s">
        <v>222</v>
      </c>
      <c r="I22" s="28" t="s">
        <v>836</v>
      </c>
    </row>
    <row r="23" spans="2:9" ht="16" customHeight="1" x14ac:dyDescent="0.2">
      <c r="F23" s="28"/>
      <c r="G23" s="28"/>
      <c r="H23" s="28" t="s">
        <v>93</v>
      </c>
      <c r="I23" s="28" t="s">
        <v>619</v>
      </c>
    </row>
    <row r="24" spans="2:9" ht="16" customHeight="1" x14ac:dyDescent="0.2">
      <c r="F24" s="28"/>
      <c r="G24" s="28"/>
      <c r="H24" s="28" t="s">
        <v>99</v>
      </c>
      <c r="I24" s="28" t="s">
        <v>620</v>
      </c>
    </row>
    <row r="25" spans="2:9" ht="16" customHeight="1" x14ac:dyDescent="0.2">
      <c r="F25" s="28"/>
      <c r="G25" s="28"/>
      <c r="H25" s="28" t="s">
        <v>95</v>
      </c>
      <c r="I25" s="28" t="s">
        <v>621</v>
      </c>
    </row>
  </sheetData>
  <sortState xmlns:xlrd2="http://schemas.microsoft.com/office/spreadsheetml/2017/richdata2" ref="B3:D15">
    <sortCondition ref="B3:B15"/>
  </sortState>
  <mergeCells count="13">
    <mergeCell ref="B12:B13"/>
    <mergeCell ref="C12:C13"/>
    <mergeCell ref="D12:D13"/>
    <mergeCell ref="D14:D15"/>
    <mergeCell ref="C14:C15"/>
    <mergeCell ref="B14:B15"/>
    <mergeCell ref="F1:I1"/>
    <mergeCell ref="K1:L1"/>
    <mergeCell ref="K7:L7"/>
    <mergeCell ref="B1:D1"/>
    <mergeCell ref="D4:D6"/>
    <mergeCell ref="C4:C6"/>
    <mergeCell ref="B4:B6"/>
  </mergeCells>
  <pageMargins left="0.7" right="0.7" top="0.75" bottom="0.75" header="0.3" footer="0.3"/>
  <pageSetup paperSize="9" orientation="landscape" horizontalDpi="0" verticalDpi="0"/>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26A20-CC2C-C44F-96AA-A71ACCAF914F}">
  <dimension ref="A1:V307"/>
  <sheetViews>
    <sheetView zoomScale="90" zoomScaleNormal="90" workbookViewId="0">
      <pane ySplit="1" topLeftCell="A2" activePane="bottomLeft" state="frozen"/>
      <selection pane="bottomLeft" activeCell="N259" sqref="N259:T259"/>
    </sheetView>
  </sheetViews>
  <sheetFormatPr baseColWidth="10" defaultRowHeight="16" x14ac:dyDescent="0.2"/>
  <cols>
    <col min="1" max="1" width="11" style="2" customWidth="1"/>
    <col min="2" max="2" width="46.83203125" style="2" customWidth="1"/>
    <col min="3" max="3" width="19.1640625" style="2" customWidth="1"/>
    <col min="4" max="4" width="17.83203125" style="2" customWidth="1"/>
    <col min="5" max="5" width="17.83203125" style="2" hidden="1" customWidth="1"/>
    <col min="6" max="6" width="15.83203125" style="2" customWidth="1"/>
    <col min="7" max="7" width="14.6640625" style="2" customWidth="1"/>
    <col min="8" max="8" width="16.1640625" style="1" hidden="1" customWidth="1"/>
    <col min="9" max="9" width="64.5" style="1" bestFit="1" customWidth="1"/>
    <col min="10" max="10" width="64.5" style="1" customWidth="1"/>
    <col min="11" max="12" width="10.83203125" style="1" customWidth="1"/>
    <col min="13" max="13" width="20.1640625" style="1" customWidth="1"/>
    <col min="14" max="14" width="20.83203125" style="1" customWidth="1"/>
    <col min="15" max="15" width="20.83203125" style="3" customWidth="1"/>
    <col min="16" max="16" width="30.6640625" style="1" customWidth="1"/>
    <col min="17" max="18" width="21.83203125" style="1" customWidth="1"/>
    <col min="19" max="19" width="19" style="1" customWidth="1"/>
    <col min="20" max="21" width="20.83203125" style="2" customWidth="1"/>
    <col min="22" max="22" width="21" style="2" customWidth="1"/>
    <col min="23" max="16384" width="10.83203125" style="2"/>
  </cols>
  <sheetData>
    <row r="1" spans="1:22" ht="17" x14ac:dyDescent="0.2">
      <c r="A1" s="2" t="s">
        <v>21</v>
      </c>
      <c r="B1" s="2" t="s">
        <v>22</v>
      </c>
      <c r="C1" s="2" t="s">
        <v>272</v>
      </c>
      <c r="D1" s="2" t="s">
        <v>273</v>
      </c>
      <c r="E1" s="2" t="s">
        <v>943</v>
      </c>
      <c r="F1" s="2" t="s">
        <v>292</v>
      </c>
      <c r="G1" s="2" t="s">
        <v>23</v>
      </c>
      <c r="H1" s="1" t="s">
        <v>47</v>
      </c>
      <c r="I1" s="1" t="s">
        <v>834</v>
      </c>
      <c r="J1" s="1" t="s">
        <v>24</v>
      </c>
      <c r="K1" s="1" t="s">
        <v>141</v>
      </c>
      <c r="L1" s="1" t="s">
        <v>261</v>
      </c>
      <c r="M1" s="1" t="s">
        <v>25</v>
      </c>
      <c r="N1" s="3" t="s">
        <v>26</v>
      </c>
      <c r="O1" s="3" t="s">
        <v>87</v>
      </c>
      <c r="P1" s="1" t="s">
        <v>191</v>
      </c>
      <c r="Q1" s="1" t="s">
        <v>189</v>
      </c>
      <c r="R1" s="1" t="s">
        <v>1199</v>
      </c>
      <c r="S1" s="1" t="s">
        <v>234</v>
      </c>
      <c r="T1" s="2" t="s">
        <v>235</v>
      </c>
      <c r="U1" s="1" t="s">
        <v>242</v>
      </c>
      <c r="V1" s="2" t="s">
        <v>243</v>
      </c>
    </row>
    <row r="2" spans="1:22" ht="85" x14ac:dyDescent="0.2">
      <c r="A2" s="20" t="s">
        <v>377</v>
      </c>
      <c r="B2" s="2" t="s">
        <v>314</v>
      </c>
      <c r="C2" s="6" t="s">
        <v>263</v>
      </c>
      <c r="D2" s="2" t="s">
        <v>263</v>
      </c>
      <c r="E2" s="2" t="s">
        <v>142</v>
      </c>
      <c r="F2" s="2">
        <v>1911</v>
      </c>
      <c r="G2" s="2">
        <v>3</v>
      </c>
      <c r="H2" s="1" t="s">
        <v>74</v>
      </c>
      <c r="I2" s="1" t="s">
        <v>969</v>
      </c>
      <c r="K2" s="1">
        <v>1859</v>
      </c>
      <c r="L2" s="1" t="s">
        <v>1189</v>
      </c>
      <c r="M2" s="1" t="s">
        <v>63</v>
      </c>
      <c r="N2" s="4" t="s">
        <v>64</v>
      </c>
      <c r="O2" s="5" t="s">
        <v>65</v>
      </c>
      <c r="P2" s="1" t="s">
        <v>167</v>
      </c>
      <c r="Q2" s="1" t="s">
        <v>1218</v>
      </c>
      <c r="R2" s="1" t="s">
        <v>1131</v>
      </c>
      <c r="S2" s="2" t="s">
        <v>66</v>
      </c>
      <c r="T2" s="2" t="s">
        <v>66</v>
      </c>
    </row>
    <row r="3" spans="1:22" ht="17" x14ac:dyDescent="0.2">
      <c r="A3" s="20" t="s">
        <v>378</v>
      </c>
      <c r="B3" s="6" t="s">
        <v>83</v>
      </c>
      <c r="C3" s="6" t="s">
        <v>276</v>
      </c>
      <c r="D3" s="6" t="s">
        <v>290</v>
      </c>
      <c r="E3" s="6"/>
      <c r="F3" s="6">
        <v>1894</v>
      </c>
      <c r="G3" s="6">
        <v>103</v>
      </c>
      <c r="H3" s="7" t="s">
        <v>74</v>
      </c>
      <c r="I3" s="1" t="s">
        <v>970</v>
      </c>
      <c r="K3" s="1">
        <v>1862</v>
      </c>
      <c r="L3" s="1" t="s">
        <v>1190</v>
      </c>
      <c r="M3" s="1" t="s">
        <v>84</v>
      </c>
      <c r="N3" s="4" t="s">
        <v>85</v>
      </c>
      <c r="O3" s="5" t="s">
        <v>86</v>
      </c>
      <c r="P3" s="1" t="s">
        <v>167</v>
      </c>
      <c r="Q3" s="1" t="s">
        <v>1219</v>
      </c>
      <c r="R3" s="1" t="s">
        <v>1151</v>
      </c>
      <c r="S3" s="1" t="s">
        <v>0</v>
      </c>
      <c r="T3" s="2" t="s">
        <v>76</v>
      </c>
    </row>
    <row r="4" spans="1:22" ht="51" x14ac:dyDescent="0.2">
      <c r="A4" s="20" t="s">
        <v>379</v>
      </c>
      <c r="B4" s="6" t="s">
        <v>83</v>
      </c>
      <c r="C4" s="6" t="s">
        <v>276</v>
      </c>
      <c r="D4" s="6" t="s">
        <v>290</v>
      </c>
      <c r="E4" s="6"/>
      <c r="F4" s="6">
        <v>1894</v>
      </c>
      <c r="G4" s="6">
        <v>102</v>
      </c>
      <c r="H4" s="7" t="s">
        <v>74</v>
      </c>
      <c r="I4" s="1" t="s">
        <v>971</v>
      </c>
      <c r="J4" s="1" t="s">
        <v>584</v>
      </c>
      <c r="K4" s="1">
        <v>1862</v>
      </c>
      <c r="L4" s="1" t="s">
        <v>1190</v>
      </c>
      <c r="M4" s="1" t="s">
        <v>1269</v>
      </c>
      <c r="N4" s="4" t="s">
        <v>229</v>
      </c>
      <c r="O4" s="5" t="s">
        <v>210</v>
      </c>
      <c r="P4" s="1" t="s">
        <v>167</v>
      </c>
      <c r="Q4" s="1" t="s">
        <v>1219</v>
      </c>
      <c r="R4" s="1" t="s">
        <v>1151</v>
      </c>
      <c r="S4" s="1" t="s">
        <v>0</v>
      </c>
      <c r="T4" s="2" t="s">
        <v>76</v>
      </c>
    </row>
    <row r="5" spans="1:22" ht="180" customHeight="1" x14ac:dyDescent="0.2">
      <c r="A5" s="20" t="s">
        <v>380</v>
      </c>
      <c r="B5" s="6" t="s">
        <v>83</v>
      </c>
      <c r="C5" s="6" t="s">
        <v>276</v>
      </c>
      <c r="D5" s="6" t="s">
        <v>290</v>
      </c>
      <c r="E5" s="6"/>
      <c r="F5" s="6">
        <v>1894</v>
      </c>
      <c r="G5" s="6">
        <v>98</v>
      </c>
      <c r="H5" s="7" t="s">
        <v>74</v>
      </c>
      <c r="I5" s="1" t="s">
        <v>972</v>
      </c>
      <c r="K5" s="1">
        <v>1894</v>
      </c>
      <c r="L5" s="1" t="s">
        <v>1191</v>
      </c>
      <c r="M5" s="1" t="s">
        <v>213</v>
      </c>
      <c r="N5" s="4"/>
      <c r="O5" s="5"/>
      <c r="P5" s="1" t="s">
        <v>169</v>
      </c>
      <c r="Q5" s="1" t="s">
        <v>169</v>
      </c>
      <c r="R5" s="1" t="s">
        <v>1151</v>
      </c>
      <c r="S5" s="1" t="s">
        <v>3</v>
      </c>
      <c r="T5" s="1" t="s">
        <v>3</v>
      </c>
      <c r="U5" s="3"/>
    </row>
    <row r="6" spans="1:22" ht="51" x14ac:dyDescent="0.2">
      <c r="A6" s="20" t="s">
        <v>381</v>
      </c>
      <c r="B6" s="2" t="s">
        <v>192</v>
      </c>
      <c r="C6" s="2" t="s">
        <v>284</v>
      </c>
      <c r="D6" s="2" t="s">
        <v>285</v>
      </c>
      <c r="F6" s="2">
        <v>1976</v>
      </c>
      <c r="G6" s="2">
        <v>4</v>
      </c>
      <c r="H6" s="1" t="s">
        <v>157</v>
      </c>
      <c r="I6" s="1" t="s">
        <v>973</v>
      </c>
      <c r="K6" s="1" t="s">
        <v>262</v>
      </c>
      <c r="L6" s="1" t="s">
        <v>262</v>
      </c>
      <c r="M6" s="1" t="s">
        <v>36</v>
      </c>
      <c r="N6" s="8" t="s">
        <v>12</v>
      </c>
      <c r="O6" s="9">
        <v>146.85613215622399</v>
      </c>
      <c r="P6" s="10" t="s">
        <v>167</v>
      </c>
      <c r="Q6" s="1" t="s">
        <v>1219</v>
      </c>
      <c r="R6" s="1" t="s">
        <v>1151</v>
      </c>
      <c r="S6" s="1" t="s">
        <v>0</v>
      </c>
      <c r="T6" s="2" t="s">
        <v>205</v>
      </c>
    </row>
    <row r="7" spans="1:22" ht="102" x14ac:dyDescent="0.2">
      <c r="A7" s="20" t="s">
        <v>382</v>
      </c>
      <c r="B7" s="2" t="s">
        <v>192</v>
      </c>
      <c r="C7" s="2" t="s">
        <v>284</v>
      </c>
      <c r="D7" s="2" t="s">
        <v>285</v>
      </c>
      <c r="F7" s="2">
        <v>1976</v>
      </c>
      <c r="G7" s="2">
        <v>32</v>
      </c>
      <c r="H7" s="1" t="s">
        <v>157</v>
      </c>
      <c r="I7" s="1" t="s">
        <v>974</v>
      </c>
      <c r="K7" s="1" t="s">
        <v>581</v>
      </c>
      <c r="L7" s="1" t="s">
        <v>1197</v>
      </c>
      <c r="M7" s="1" t="s">
        <v>36</v>
      </c>
      <c r="N7" s="8" t="s">
        <v>12</v>
      </c>
      <c r="O7" s="9">
        <v>146.85613215622399</v>
      </c>
      <c r="P7" s="10" t="s">
        <v>167</v>
      </c>
      <c r="Q7" s="1" t="s">
        <v>1219</v>
      </c>
      <c r="R7" s="1" t="s">
        <v>1151</v>
      </c>
      <c r="S7" s="2" t="s">
        <v>203</v>
      </c>
      <c r="T7" s="2" t="s">
        <v>90</v>
      </c>
    </row>
    <row r="8" spans="1:22" ht="51" x14ac:dyDescent="0.2">
      <c r="A8" s="20" t="s">
        <v>383</v>
      </c>
      <c r="B8" s="6" t="s">
        <v>192</v>
      </c>
      <c r="C8" s="2" t="s">
        <v>284</v>
      </c>
      <c r="D8" s="2" t="s">
        <v>285</v>
      </c>
      <c r="F8" s="6">
        <v>1976</v>
      </c>
      <c r="G8" s="6">
        <v>60</v>
      </c>
      <c r="H8" s="7" t="s">
        <v>157</v>
      </c>
      <c r="I8" s="1" t="s">
        <v>975</v>
      </c>
      <c r="K8" s="1">
        <v>1878</v>
      </c>
      <c r="L8" s="1" t="s">
        <v>1192</v>
      </c>
      <c r="M8" s="1" t="s">
        <v>1271</v>
      </c>
      <c r="N8" s="4" t="s">
        <v>198</v>
      </c>
      <c r="O8" s="5" t="s">
        <v>199</v>
      </c>
      <c r="P8" s="1" t="s">
        <v>167</v>
      </c>
      <c r="Q8" s="1" t="s">
        <v>1218</v>
      </c>
      <c r="R8" s="1" t="s">
        <v>1132</v>
      </c>
      <c r="S8" s="2" t="s">
        <v>203</v>
      </c>
      <c r="T8" s="2" t="s">
        <v>135</v>
      </c>
    </row>
    <row r="9" spans="1:22" ht="122" customHeight="1" x14ac:dyDescent="0.2">
      <c r="A9" s="20" t="s">
        <v>384</v>
      </c>
      <c r="B9" s="6" t="s">
        <v>192</v>
      </c>
      <c r="C9" s="2" t="s">
        <v>284</v>
      </c>
      <c r="D9" s="2" t="s">
        <v>285</v>
      </c>
      <c r="F9" s="6">
        <v>1976</v>
      </c>
      <c r="G9" s="6">
        <v>61</v>
      </c>
      <c r="H9" s="7" t="s">
        <v>157</v>
      </c>
      <c r="I9" s="1" t="s">
        <v>976</v>
      </c>
      <c r="K9" s="1">
        <v>1885</v>
      </c>
      <c r="L9" s="1" t="s">
        <v>1193</v>
      </c>
      <c r="M9" s="1" t="s">
        <v>1271</v>
      </c>
      <c r="N9" s="4" t="s">
        <v>198</v>
      </c>
      <c r="O9" s="5" t="s">
        <v>199</v>
      </c>
      <c r="P9" s="1" t="s">
        <v>167</v>
      </c>
      <c r="Q9" s="1" t="s">
        <v>1218</v>
      </c>
      <c r="R9" s="1" t="s">
        <v>1132</v>
      </c>
      <c r="S9" s="2" t="s">
        <v>203</v>
      </c>
      <c r="T9" s="2" t="s">
        <v>37</v>
      </c>
    </row>
    <row r="10" spans="1:22" ht="51" x14ac:dyDescent="0.2">
      <c r="A10" s="20" t="s">
        <v>385</v>
      </c>
      <c r="B10" s="6" t="s">
        <v>192</v>
      </c>
      <c r="C10" s="2" t="s">
        <v>284</v>
      </c>
      <c r="D10" s="2" t="s">
        <v>285</v>
      </c>
      <c r="F10" s="6">
        <v>1976</v>
      </c>
      <c r="G10" s="6">
        <v>61</v>
      </c>
      <c r="H10" s="7" t="s">
        <v>157</v>
      </c>
      <c r="I10" s="1" t="s">
        <v>977</v>
      </c>
      <c r="K10" s="1">
        <v>1886</v>
      </c>
      <c r="L10" s="1" t="s">
        <v>1193</v>
      </c>
      <c r="M10" s="1" t="s">
        <v>121</v>
      </c>
      <c r="N10" s="4" t="s">
        <v>122</v>
      </c>
      <c r="O10" s="5" t="s">
        <v>123</v>
      </c>
      <c r="P10" s="1" t="s">
        <v>167</v>
      </c>
      <c r="Q10" s="1" t="s">
        <v>220</v>
      </c>
      <c r="R10" s="1" t="s">
        <v>1132</v>
      </c>
      <c r="S10" s="2" t="s">
        <v>203</v>
      </c>
      <c r="T10" s="2" t="s">
        <v>37</v>
      </c>
    </row>
    <row r="11" spans="1:22" ht="34" x14ac:dyDescent="0.2">
      <c r="A11" s="20" t="s">
        <v>386</v>
      </c>
      <c r="B11" s="2" t="s">
        <v>192</v>
      </c>
      <c r="C11" s="2" t="s">
        <v>284</v>
      </c>
      <c r="D11" s="2" t="s">
        <v>285</v>
      </c>
      <c r="F11" s="2">
        <v>1976</v>
      </c>
      <c r="G11" s="2">
        <v>4</v>
      </c>
      <c r="H11" s="1" t="s">
        <v>157</v>
      </c>
      <c r="I11" s="1" t="s">
        <v>978</v>
      </c>
      <c r="J11" s="1" t="s">
        <v>580</v>
      </c>
      <c r="K11" s="1" t="s">
        <v>262</v>
      </c>
      <c r="L11" s="1" t="s">
        <v>262</v>
      </c>
      <c r="M11" s="1" t="s">
        <v>195</v>
      </c>
      <c r="O11" s="1"/>
      <c r="P11" s="1" t="s">
        <v>169</v>
      </c>
      <c r="Q11" s="1" t="s">
        <v>169</v>
      </c>
      <c r="R11" s="1" t="s">
        <v>1151</v>
      </c>
      <c r="S11" s="1" t="s">
        <v>0</v>
      </c>
      <c r="T11" s="2" t="s">
        <v>205</v>
      </c>
    </row>
    <row r="12" spans="1:22" ht="51" x14ac:dyDescent="0.2">
      <c r="A12" s="20" t="s">
        <v>387</v>
      </c>
      <c r="B12" s="2" t="s">
        <v>192</v>
      </c>
      <c r="C12" s="2" t="s">
        <v>284</v>
      </c>
      <c r="D12" s="2" t="s">
        <v>285</v>
      </c>
      <c r="F12" s="2">
        <v>1976</v>
      </c>
      <c r="G12" s="2">
        <v>45</v>
      </c>
      <c r="H12" s="1" t="s">
        <v>157</v>
      </c>
      <c r="I12" s="1" t="s">
        <v>979</v>
      </c>
      <c r="J12" s="1" t="s">
        <v>214</v>
      </c>
      <c r="K12" s="1" t="s">
        <v>583</v>
      </c>
      <c r="L12" s="1" t="s">
        <v>1256</v>
      </c>
      <c r="M12" s="1" t="s">
        <v>92</v>
      </c>
      <c r="N12" s="4" t="s">
        <v>170</v>
      </c>
      <c r="O12" s="5" t="s">
        <v>171</v>
      </c>
      <c r="P12" s="1" t="s">
        <v>1247</v>
      </c>
      <c r="Q12" s="1" t="s">
        <v>1219</v>
      </c>
      <c r="R12" s="1" t="s">
        <v>1151</v>
      </c>
      <c r="S12" s="2" t="s">
        <v>247</v>
      </c>
      <c r="T12" s="2" t="s">
        <v>89</v>
      </c>
    </row>
    <row r="13" spans="1:22" ht="68" x14ac:dyDescent="0.2">
      <c r="A13" s="20" t="s">
        <v>388</v>
      </c>
      <c r="B13" s="2" t="s">
        <v>192</v>
      </c>
      <c r="C13" s="2" t="s">
        <v>284</v>
      </c>
      <c r="D13" s="2" t="s">
        <v>285</v>
      </c>
      <c r="F13" s="2">
        <v>1976</v>
      </c>
      <c r="G13" s="2">
        <v>5</v>
      </c>
      <c r="H13" s="1" t="s">
        <v>157</v>
      </c>
      <c r="I13" s="1" t="s">
        <v>980</v>
      </c>
      <c r="J13" s="1" t="s">
        <v>585</v>
      </c>
      <c r="K13" s="1" t="s">
        <v>262</v>
      </c>
      <c r="L13" s="1" t="s">
        <v>262</v>
      </c>
      <c r="M13" s="1" t="s">
        <v>193</v>
      </c>
      <c r="P13" s="1" t="s">
        <v>169</v>
      </c>
      <c r="Q13" s="1" t="s">
        <v>169</v>
      </c>
      <c r="R13" s="1" t="s">
        <v>1151</v>
      </c>
      <c r="S13" s="1" t="s">
        <v>0</v>
      </c>
      <c r="T13" s="2" t="s">
        <v>205</v>
      </c>
    </row>
    <row r="14" spans="1:22" ht="51" x14ac:dyDescent="0.2">
      <c r="A14" s="20" t="s">
        <v>1176</v>
      </c>
      <c r="B14" s="2" t="s">
        <v>192</v>
      </c>
      <c r="C14" s="2" t="s">
        <v>284</v>
      </c>
      <c r="D14" s="2" t="s">
        <v>285</v>
      </c>
      <c r="F14" s="2">
        <v>1976</v>
      </c>
      <c r="G14" s="2">
        <v>4</v>
      </c>
      <c r="H14" s="1" t="s">
        <v>157</v>
      </c>
      <c r="I14" s="1" t="s">
        <v>981</v>
      </c>
      <c r="J14" s="1" t="s">
        <v>586</v>
      </c>
      <c r="K14" s="1" t="s">
        <v>262</v>
      </c>
      <c r="L14" s="1" t="s">
        <v>262</v>
      </c>
      <c r="M14" s="1" t="s">
        <v>194</v>
      </c>
      <c r="N14" s="4" t="s">
        <v>198</v>
      </c>
      <c r="O14" s="5" t="s">
        <v>199</v>
      </c>
      <c r="P14" s="1" t="s">
        <v>167</v>
      </c>
      <c r="Q14" s="1" t="s">
        <v>1219</v>
      </c>
      <c r="R14" s="1" t="s">
        <v>1151</v>
      </c>
      <c r="S14" s="1" t="s">
        <v>0</v>
      </c>
      <c r="T14" s="2" t="s">
        <v>205</v>
      </c>
    </row>
    <row r="15" spans="1:22" ht="51" x14ac:dyDescent="0.2">
      <c r="A15" s="20" t="s">
        <v>389</v>
      </c>
      <c r="B15" s="2" t="s">
        <v>192</v>
      </c>
      <c r="C15" s="2" t="s">
        <v>284</v>
      </c>
      <c r="D15" s="2" t="s">
        <v>285</v>
      </c>
      <c r="F15" s="2">
        <v>1976</v>
      </c>
      <c r="G15" s="2">
        <v>5</v>
      </c>
      <c r="H15" s="1" t="s">
        <v>157</v>
      </c>
      <c r="I15" s="1" t="s">
        <v>982</v>
      </c>
      <c r="J15" s="1" t="s">
        <v>587</v>
      </c>
      <c r="K15" s="1" t="s">
        <v>262</v>
      </c>
      <c r="L15" s="1" t="s">
        <v>262</v>
      </c>
      <c r="M15" s="1" t="s">
        <v>194</v>
      </c>
      <c r="N15" s="4" t="s">
        <v>198</v>
      </c>
      <c r="O15" s="5" t="s">
        <v>199</v>
      </c>
      <c r="P15" s="1" t="s">
        <v>167</v>
      </c>
      <c r="Q15" s="1" t="s">
        <v>1219</v>
      </c>
      <c r="R15" s="1" t="s">
        <v>1151</v>
      </c>
      <c r="S15" s="1" t="s">
        <v>0</v>
      </c>
      <c r="T15" s="2" t="s">
        <v>205</v>
      </c>
    </row>
    <row r="16" spans="1:22" ht="187" x14ac:dyDescent="0.2">
      <c r="A16" s="20" t="s">
        <v>390</v>
      </c>
      <c r="B16" s="6" t="s">
        <v>192</v>
      </c>
      <c r="C16" s="2" t="s">
        <v>284</v>
      </c>
      <c r="D16" s="2" t="s">
        <v>285</v>
      </c>
      <c r="F16" s="6">
        <v>1976</v>
      </c>
      <c r="G16" s="6">
        <v>59</v>
      </c>
      <c r="H16" s="7" t="s">
        <v>157</v>
      </c>
      <c r="I16" s="1" t="s">
        <v>983</v>
      </c>
      <c r="K16" s="1">
        <v>1859</v>
      </c>
      <c r="L16" s="1" t="s">
        <v>1189</v>
      </c>
      <c r="M16" s="1" t="s">
        <v>63</v>
      </c>
      <c r="N16" s="4" t="s">
        <v>64</v>
      </c>
      <c r="O16" s="5" t="s">
        <v>65</v>
      </c>
      <c r="P16" s="1" t="s">
        <v>167</v>
      </c>
      <c r="Q16" s="1" t="s">
        <v>1218</v>
      </c>
      <c r="R16" s="1" t="s">
        <v>1131</v>
      </c>
      <c r="S16" s="2" t="s">
        <v>66</v>
      </c>
      <c r="T16" s="2" t="s">
        <v>66</v>
      </c>
    </row>
    <row r="17" spans="1:22" ht="204" x14ac:dyDescent="0.2">
      <c r="A17" s="20" t="s">
        <v>391</v>
      </c>
      <c r="B17" s="6" t="s">
        <v>192</v>
      </c>
      <c r="C17" s="2" t="s">
        <v>284</v>
      </c>
      <c r="D17" s="2" t="s">
        <v>285</v>
      </c>
      <c r="F17" s="6">
        <v>1976</v>
      </c>
      <c r="G17" s="6">
        <v>66</v>
      </c>
      <c r="H17" s="7" t="s">
        <v>157</v>
      </c>
      <c r="I17" s="1" t="s">
        <v>984</v>
      </c>
      <c r="K17" s="1" t="s">
        <v>581</v>
      </c>
      <c r="L17" s="1" t="s">
        <v>1197</v>
      </c>
      <c r="M17" s="1" t="s">
        <v>197</v>
      </c>
      <c r="P17" s="1" t="s">
        <v>169</v>
      </c>
      <c r="Q17" s="1" t="s">
        <v>169</v>
      </c>
      <c r="R17" s="1" t="s">
        <v>1151</v>
      </c>
      <c r="S17" s="1" t="s">
        <v>0</v>
      </c>
      <c r="T17" s="2" t="s">
        <v>205</v>
      </c>
    </row>
    <row r="18" spans="1:22" ht="198" customHeight="1" x14ac:dyDescent="0.2">
      <c r="A18" s="20" t="s">
        <v>392</v>
      </c>
      <c r="B18" s="2" t="s">
        <v>192</v>
      </c>
      <c r="C18" s="2" t="s">
        <v>284</v>
      </c>
      <c r="D18" s="2" t="s">
        <v>285</v>
      </c>
      <c r="F18" s="2">
        <v>1976</v>
      </c>
      <c r="G18" s="2">
        <v>51</v>
      </c>
      <c r="H18" s="1" t="s">
        <v>157</v>
      </c>
      <c r="I18" s="1" t="s">
        <v>985</v>
      </c>
      <c r="J18" s="1" t="s">
        <v>588</v>
      </c>
      <c r="K18" s="1" t="s">
        <v>581</v>
      </c>
      <c r="L18" s="1" t="s">
        <v>1197</v>
      </c>
      <c r="M18" s="1" t="s">
        <v>196</v>
      </c>
      <c r="N18" s="4" t="s">
        <v>200</v>
      </c>
      <c r="O18" s="4" t="s">
        <v>201</v>
      </c>
      <c r="P18" s="1" t="s">
        <v>1246</v>
      </c>
      <c r="Q18" s="1" t="s">
        <v>1219</v>
      </c>
      <c r="R18" s="1" t="s">
        <v>1131</v>
      </c>
      <c r="S18" s="2" t="s">
        <v>66</v>
      </c>
      <c r="T18" s="2" t="s">
        <v>66</v>
      </c>
    </row>
    <row r="19" spans="1:22" ht="85" x14ac:dyDescent="0.2">
      <c r="A19" s="20" t="s">
        <v>393</v>
      </c>
      <c r="B19" s="2" t="s">
        <v>192</v>
      </c>
      <c r="C19" s="2" t="s">
        <v>284</v>
      </c>
      <c r="D19" s="2" t="s">
        <v>285</v>
      </c>
      <c r="F19" s="2">
        <v>1976</v>
      </c>
      <c r="G19" s="2">
        <v>9</v>
      </c>
      <c r="H19" s="1" t="s">
        <v>157</v>
      </c>
      <c r="I19" s="1" t="s">
        <v>986</v>
      </c>
      <c r="K19" s="1" t="s">
        <v>262</v>
      </c>
      <c r="L19" s="1" t="s">
        <v>262</v>
      </c>
      <c r="M19" s="1" t="s">
        <v>29</v>
      </c>
      <c r="N19" s="4" t="s">
        <v>11</v>
      </c>
      <c r="O19" s="5">
        <v>147.321425002133</v>
      </c>
      <c r="P19" s="1" t="s">
        <v>167</v>
      </c>
      <c r="Q19" s="1" t="s">
        <v>1219</v>
      </c>
      <c r="R19" s="1" t="s">
        <v>1151</v>
      </c>
      <c r="S19" s="1" t="s">
        <v>0</v>
      </c>
      <c r="T19" s="2" t="s">
        <v>205</v>
      </c>
    </row>
    <row r="20" spans="1:22" ht="68" x14ac:dyDescent="0.2">
      <c r="A20" s="20" t="s">
        <v>394</v>
      </c>
      <c r="B20" s="2" t="s">
        <v>192</v>
      </c>
      <c r="C20" s="2" t="s">
        <v>284</v>
      </c>
      <c r="D20" s="2" t="s">
        <v>285</v>
      </c>
      <c r="F20" s="2">
        <v>1976</v>
      </c>
      <c r="G20" s="2">
        <v>32</v>
      </c>
      <c r="H20" s="1" t="s">
        <v>157</v>
      </c>
      <c r="I20" s="1" t="s">
        <v>1133</v>
      </c>
      <c r="J20" s="1" t="s">
        <v>589</v>
      </c>
      <c r="K20" s="1" t="s">
        <v>262</v>
      </c>
      <c r="L20" s="1" t="s">
        <v>262</v>
      </c>
      <c r="M20" s="1" t="s">
        <v>1271</v>
      </c>
      <c r="N20" s="4" t="s">
        <v>198</v>
      </c>
      <c r="O20" s="5" t="s">
        <v>199</v>
      </c>
      <c r="P20" s="1" t="s">
        <v>167</v>
      </c>
      <c r="Q20" s="1" t="s">
        <v>1218</v>
      </c>
      <c r="R20" s="1" t="s">
        <v>1151</v>
      </c>
      <c r="S20" s="2" t="s">
        <v>247</v>
      </c>
      <c r="T20" s="2" t="s">
        <v>89</v>
      </c>
    </row>
    <row r="21" spans="1:22" ht="85" x14ac:dyDescent="0.2">
      <c r="A21" s="20" t="s">
        <v>395</v>
      </c>
      <c r="B21" s="2" t="s">
        <v>192</v>
      </c>
      <c r="C21" s="2" t="s">
        <v>284</v>
      </c>
      <c r="D21" s="2" t="s">
        <v>285</v>
      </c>
      <c r="F21" s="2">
        <v>1976</v>
      </c>
      <c r="G21" s="2">
        <v>32</v>
      </c>
      <c r="H21" s="1" t="s">
        <v>157</v>
      </c>
      <c r="I21" s="1" t="s">
        <v>987</v>
      </c>
      <c r="J21" s="1" t="s">
        <v>589</v>
      </c>
      <c r="K21" s="1" t="s">
        <v>262</v>
      </c>
      <c r="L21" s="1" t="s">
        <v>262</v>
      </c>
      <c r="M21" s="1" t="s">
        <v>1271</v>
      </c>
      <c r="N21" s="4" t="s">
        <v>198</v>
      </c>
      <c r="O21" s="5" t="s">
        <v>199</v>
      </c>
      <c r="P21" s="1" t="s">
        <v>167</v>
      </c>
      <c r="Q21" s="1" t="s">
        <v>1218</v>
      </c>
      <c r="R21" s="1" t="s">
        <v>1151</v>
      </c>
      <c r="S21" s="2" t="s">
        <v>247</v>
      </c>
      <c r="T21" s="2" t="s">
        <v>89</v>
      </c>
    </row>
    <row r="22" spans="1:22" ht="176" customHeight="1" x14ac:dyDescent="0.2">
      <c r="A22" s="20" t="s">
        <v>396</v>
      </c>
      <c r="B22" s="2" t="s">
        <v>192</v>
      </c>
      <c r="C22" s="2" t="s">
        <v>284</v>
      </c>
      <c r="D22" s="2" t="s">
        <v>285</v>
      </c>
      <c r="F22" s="2">
        <v>1976</v>
      </c>
      <c r="G22" s="2">
        <v>36</v>
      </c>
      <c r="H22" s="1" t="s">
        <v>157</v>
      </c>
      <c r="I22" s="1" t="s">
        <v>988</v>
      </c>
      <c r="J22" s="1" t="s">
        <v>590</v>
      </c>
      <c r="K22" s="1" t="s">
        <v>262</v>
      </c>
      <c r="L22" s="1" t="s">
        <v>262</v>
      </c>
      <c r="M22" s="1" t="s">
        <v>1271</v>
      </c>
      <c r="N22" s="4" t="s">
        <v>198</v>
      </c>
      <c r="O22" s="5" t="s">
        <v>199</v>
      </c>
      <c r="P22" s="1" t="s">
        <v>167</v>
      </c>
      <c r="Q22" s="1" t="s">
        <v>1218</v>
      </c>
      <c r="R22" s="1" t="s">
        <v>1151</v>
      </c>
      <c r="S22" s="1" t="s">
        <v>247</v>
      </c>
      <c r="T22" s="2" t="s">
        <v>137</v>
      </c>
    </row>
    <row r="23" spans="1:22" ht="68" x14ac:dyDescent="0.2">
      <c r="A23" s="20" t="s">
        <v>397</v>
      </c>
      <c r="B23" s="7" t="s">
        <v>365</v>
      </c>
      <c r="C23" s="6" t="s">
        <v>366</v>
      </c>
      <c r="D23" s="6" t="s">
        <v>367</v>
      </c>
      <c r="E23" s="6"/>
      <c r="F23" s="6">
        <v>1878</v>
      </c>
      <c r="G23" s="6">
        <v>285</v>
      </c>
      <c r="H23" s="7" t="s">
        <v>368</v>
      </c>
      <c r="I23" s="7" t="s">
        <v>369</v>
      </c>
      <c r="J23" s="7"/>
      <c r="K23" s="7">
        <v>1878</v>
      </c>
      <c r="L23" s="7" t="s">
        <v>1192</v>
      </c>
      <c r="M23" s="7" t="s">
        <v>1266</v>
      </c>
      <c r="N23" s="54" t="s">
        <v>577</v>
      </c>
      <c r="O23" s="54">
        <v>148.12</v>
      </c>
      <c r="P23" s="7" t="s">
        <v>167</v>
      </c>
      <c r="Q23" s="7" t="s">
        <v>220</v>
      </c>
      <c r="R23" s="1" t="s">
        <v>1151</v>
      </c>
      <c r="S23" s="7" t="s">
        <v>203</v>
      </c>
      <c r="T23" s="6" t="s">
        <v>90</v>
      </c>
      <c r="U23" s="6"/>
      <c r="V23" s="6"/>
    </row>
    <row r="24" spans="1:22" ht="153" x14ac:dyDescent="0.2">
      <c r="A24" s="20" t="s">
        <v>398</v>
      </c>
      <c r="B24" s="1" t="s">
        <v>348</v>
      </c>
      <c r="C24" s="2" t="s">
        <v>263</v>
      </c>
      <c r="D24" s="2" t="s">
        <v>263</v>
      </c>
      <c r="F24" s="2">
        <v>1895</v>
      </c>
      <c r="H24" s="1" t="s">
        <v>74</v>
      </c>
      <c r="I24" s="1" t="s">
        <v>1166</v>
      </c>
      <c r="J24" s="1" t="s">
        <v>1167</v>
      </c>
      <c r="K24" s="1">
        <v>1895</v>
      </c>
      <c r="L24" s="1" t="s">
        <v>1191</v>
      </c>
      <c r="M24" s="1" t="s">
        <v>70</v>
      </c>
      <c r="N24" s="5" t="s">
        <v>71</v>
      </c>
      <c r="O24" s="5" t="s">
        <v>72</v>
      </c>
      <c r="P24" s="1" t="s">
        <v>1246</v>
      </c>
      <c r="Q24" s="1" t="s">
        <v>1219</v>
      </c>
      <c r="R24" s="1" t="s">
        <v>1134</v>
      </c>
      <c r="S24" s="1" t="s">
        <v>203</v>
      </c>
      <c r="T24" s="2" t="s">
        <v>51</v>
      </c>
    </row>
    <row r="25" spans="1:22" ht="238" x14ac:dyDescent="0.2">
      <c r="A25" s="20" t="s">
        <v>1177</v>
      </c>
      <c r="B25" s="1" t="s">
        <v>350</v>
      </c>
      <c r="C25" s="2" t="s">
        <v>263</v>
      </c>
      <c r="D25" s="2" t="s">
        <v>263</v>
      </c>
      <c r="F25" s="2">
        <v>1896</v>
      </c>
      <c r="H25" s="1" t="s">
        <v>74</v>
      </c>
      <c r="I25" s="1" t="s">
        <v>1164</v>
      </c>
      <c r="J25" s="1" t="s">
        <v>1165</v>
      </c>
      <c r="K25" s="1">
        <v>1896</v>
      </c>
      <c r="L25" s="1" t="s">
        <v>1191</v>
      </c>
      <c r="M25" s="1" t="s">
        <v>70</v>
      </c>
      <c r="N25" s="5" t="s">
        <v>71</v>
      </c>
      <c r="O25" s="5" t="s">
        <v>72</v>
      </c>
      <c r="P25" s="1" t="s">
        <v>1246</v>
      </c>
      <c r="Q25" s="1" t="s">
        <v>1219</v>
      </c>
      <c r="R25" s="1" t="s">
        <v>1134</v>
      </c>
      <c r="S25" s="1" t="s">
        <v>203</v>
      </c>
      <c r="T25" s="2" t="s">
        <v>51</v>
      </c>
    </row>
    <row r="26" spans="1:22" ht="87" customHeight="1" x14ac:dyDescent="0.2">
      <c r="A26" s="20" t="s">
        <v>399</v>
      </c>
      <c r="B26" s="1" t="s">
        <v>349</v>
      </c>
      <c r="C26" s="2" t="s">
        <v>263</v>
      </c>
      <c r="D26" s="2" t="s">
        <v>263</v>
      </c>
      <c r="F26" s="2">
        <v>1897</v>
      </c>
      <c r="H26" s="1" t="s">
        <v>74</v>
      </c>
      <c r="I26" s="1" t="s">
        <v>1162</v>
      </c>
      <c r="J26" s="1" t="s">
        <v>1163</v>
      </c>
      <c r="K26" s="1">
        <v>1897</v>
      </c>
      <c r="L26" s="1" t="s">
        <v>1191</v>
      </c>
      <c r="M26" s="1" t="s">
        <v>70</v>
      </c>
      <c r="N26" s="5" t="s">
        <v>71</v>
      </c>
      <c r="O26" s="5" t="s">
        <v>72</v>
      </c>
      <c r="P26" s="1" t="s">
        <v>1246</v>
      </c>
      <c r="Q26" s="1" t="s">
        <v>1219</v>
      </c>
      <c r="R26" s="1" t="s">
        <v>1134</v>
      </c>
      <c r="S26" s="1" t="s">
        <v>203</v>
      </c>
      <c r="T26" s="2" t="s">
        <v>51</v>
      </c>
    </row>
    <row r="27" spans="1:22" ht="95" customHeight="1" x14ac:dyDescent="0.2">
      <c r="A27" s="20" t="s">
        <v>400</v>
      </c>
      <c r="B27" s="1" t="s">
        <v>351</v>
      </c>
      <c r="C27" s="2" t="s">
        <v>263</v>
      </c>
      <c r="D27" s="2" t="s">
        <v>263</v>
      </c>
      <c r="F27" s="2">
        <v>1898</v>
      </c>
      <c r="H27" s="1" t="s">
        <v>74</v>
      </c>
      <c r="I27" s="1" t="s">
        <v>1160</v>
      </c>
      <c r="J27" s="1" t="s">
        <v>1161</v>
      </c>
      <c r="K27" s="1">
        <v>1898</v>
      </c>
      <c r="L27" s="1" t="s">
        <v>1191</v>
      </c>
      <c r="M27" s="1" t="s">
        <v>70</v>
      </c>
      <c r="N27" s="5" t="s">
        <v>71</v>
      </c>
      <c r="O27" s="5" t="s">
        <v>72</v>
      </c>
      <c r="P27" s="1" t="s">
        <v>1246</v>
      </c>
      <c r="Q27" s="1" t="s">
        <v>1219</v>
      </c>
      <c r="R27" s="1" t="s">
        <v>1134</v>
      </c>
      <c r="S27" s="1" t="s">
        <v>203</v>
      </c>
      <c r="T27" s="2" t="s">
        <v>51</v>
      </c>
    </row>
    <row r="28" spans="1:22" ht="95" customHeight="1" x14ac:dyDescent="0.2">
      <c r="A28" s="20" t="s">
        <v>401</v>
      </c>
      <c r="B28" s="1" t="s">
        <v>352</v>
      </c>
      <c r="C28" s="2" t="s">
        <v>263</v>
      </c>
      <c r="D28" s="2" t="s">
        <v>263</v>
      </c>
      <c r="F28" s="2">
        <v>1899</v>
      </c>
      <c r="H28" s="1" t="s">
        <v>74</v>
      </c>
      <c r="I28" s="1" t="s">
        <v>353</v>
      </c>
      <c r="K28" s="1">
        <v>1899</v>
      </c>
      <c r="L28" s="1" t="s">
        <v>1191</v>
      </c>
      <c r="M28" s="1" t="s">
        <v>70</v>
      </c>
      <c r="N28" s="48" t="s">
        <v>71</v>
      </c>
      <c r="O28" s="48" t="s">
        <v>72</v>
      </c>
      <c r="P28" s="43" t="s">
        <v>1246</v>
      </c>
      <c r="Q28" s="43" t="s">
        <v>1219</v>
      </c>
      <c r="R28" s="1" t="s">
        <v>1134</v>
      </c>
      <c r="S28" s="1" t="s">
        <v>203</v>
      </c>
      <c r="T28" s="2" t="s">
        <v>51</v>
      </c>
    </row>
    <row r="29" spans="1:22" ht="95" customHeight="1" x14ac:dyDescent="0.2">
      <c r="A29" s="20" t="s">
        <v>402</v>
      </c>
      <c r="B29" s="6" t="s">
        <v>1</v>
      </c>
      <c r="C29" s="6" t="s">
        <v>280</v>
      </c>
      <c r="D29" s="6" t="s">
        <v>281</v>
      </c>
      <c r="E29" s="6"/>
      <c r="F29" s="6">
        <v>1895</v>
      </c>
      <c r="G29" s="6">
        <v>37</v>
      </c>
      <c r="H29" s="1" t="s">
        <v>74</v>
      </c>
      <c r="I29" s="1" t="s">
        <v>989</v>
      </c>
      <c r="K29" s="1" t="s">
        <v>262</v>
      </c>
      <c r="L29" s="1" t="s">
        <v>262</v>
      </c>
      <c r="M29" s="1" t="s">
        <v>36</v>
      </c>
      <c r="N29" s="46" t="s">
        <v>12</v>
      </c>
      <c r="O29" s="48">
        <v>146.85613215622399</v>
      </c>
      <c r="P29" s="43" t="s">
        <v>167</v>
      </c>
      <c r="Q29" s="43" t="s">
        <v>1219</v>
      </c>
      <c r="R29" s="1" t="s">
        <v>1151</v>
      </c>
      <c r="S29" s="2" t="s">
        <v>0</v>
      </c>
      <c r="T29" s="2" t="s">
        <v>205</v>
      </c>
    </row>
    <row r="30" spans="1:22" ht="34" x14ac:dyDescent="0.2">
      <c r="A30" s="20" t="s">
        <v>403</v>
      </c>
      <c r="B30" s="2" t="s">
        <v>1</v>
      </c>
      <c r="C30" s="6" t="s">
        <v>280</v>
      </c>
      <c r="D30" s="6" t="s">
        <v>281</v>
      </c>
      <c r="E30" s="6"/>
      <c r="F30" s="2">
        <v>1895</v>
      </c>
      <c r="G30" s="2">
        <v>10</v>
      </c>
      <c r="H30" s="1" t="s">
        <v>74</v>
      </c>
      <c r="I30" s="1" t="s">
        <v>16</v>
      </c>
      <c r="J30" s="1" t="s">
        <v>53</v>
      </c>
      <c r="K30" s="1" t="s">
        <v>262</v>
      </c>
      <c r="L30" s="1" t="s">
        <v>262</v>
      </c>
      <c r="M30" s="1" t="s">
        <v>4</v>
      </c>
      <c r="N30" s="43">
        <v>-28.9874636347425</v>
      </c>
      <c r="O30" s="45">
        <v>147.89541757324699</v>
      </c>
      <c r="P30" s="43" t="s">
        <v>167</v>
      </c>
      <c r="Q30" s="43" t="s">
        <v>1219</v>
      </c>
      <c r="R30" s="1" t="s">
        <v>1135</v>
      </c>
      <c r="S30" s="1" t="s">
        <v>3</v>
      </c>
      <c r="T30" s="2" t="s">
        <v>3</v>
      </c>
    </row>
    <row r="31" spans="1:22" ht="34" x14ac:dyDescent="0.2">
      <c r="A31" s="20" t="s">
        <v>404</v>
      </c>
      <c r="B31" s="2" t="s">
        <v>1</v>
      </c>
      <c r="C31" s="6" t="s">
        <v>280</v>
      </c>
      <c r="D31" s="6" t="s">
        <v>281</v>
      </c>
      <c r="E31" s="6"/>
      <c r="F31" s="2">
        <v>1895</v>
      </c>
      <c r="G31" s="2">
        <v>11</v>
      </c>
      <c r="H31" s="1" t="s">
        <v>74</v>
      </c>
      <c r="I31" s="1" t="s">
        <v>2</v>
      </c>
      <c r="J31" s="1" t="s">
        <v>53</v>
      </c>
      <c r="K31" s="1" t="s">
        <v>262</v>
      </c>
      <c r="L31" s="1" t="s">
        <v>262</v>
      </c>
      <c r="M31" s="1" t="s">
        <v>4</v>
      </c>
      <c r="N31" s="43">
        <v>-28.9874636347425</v>
      </c>
      <c r="O31" s="45">
        <v>147.89541757324699</v>
      </c>
      <c r="P31" s="43" t="s">
        <v>167</v>
      </c>
      <c r="Q31" s="43" t="s">
        <v>1219</v>
      </c>
      <c r="R31" s="1" t="s">
        <v>1151</v>
      </c>
      <c r="S31" s="1" t="s">
        <v>0</v>
      </c>
      <c r="T31" s="2" t="s">
        <v>205</v>
      </c>
    </row>
    <row r="32" spans="1:22" ht="17" x14ac:dyDescent="0.2">
      <c r="A32" s="20" t="s">
        <v>405</v>
      </c>
      <c r="B32" s="6" t="s">
        <v>1</v>
      </c>
      <c r="C32" s="6" t="s">
        <v>280</v>
      </c>
      <c r="D32" s="6" t="s">
        <v>281</v>
      </c>
      <c r="E32" s="6"/>
      <c r="F32" s="6">
        <v>1895</v>
      </c>
      <c r="G32" s="6">
        <v>37</v>
      </c>
      <c r="H32" s="1" t="s">
        <v>74</v>
      </c>
      <c r="I32" s="1" t="s">
        <v>17</v>
      </c>
      <c r="J32" s="1" t="s">
        <v>18</v>
      </c>
      <c r="K32" s="1">
        <v>1895</v>
      </c>
      <c r="L32" s="1" t="s">
        <v>1191</v>
      </c>
      <c r="M32" s="1" t="s">
        <v>15</v>
      </c>
      <c r="P32" s="1" t="s">
        <v>169</v>
      </c>
      <c r="Q32" s="1" t="s">
        <v>169</v>
      </c>
      <c r="R32" s="1" t="s">
        <v>1135</v>
      </c>
      <c r="S32" s="2" t="s">
        <v>3</v>
      </c>
      <c r="T32" s="2" t="s">
        <v>3</v>
      </c>
    </row>
    <row r="33" spans="1:21" ht="17" x14ac:dyDescent="0.2">
      <c r="A33" s="20" t="s">
        <v>406</v>
      </c>
      <c r="B33" s="2" t="s">
        <v>1</v>
      </c>
      <c r="C33" s="6" t="s">
        <v>280</v>
      </c>
      <c r="D33" s="6" t="s">
        <v>281</v>
      </c>
      <c r="E33" s="6"/>
      <c r="F33" s="2">
        <v>1895</v>
      </c>
      <c r="G33" s="2">
        <v>35</v>
      </c>
      <c r="H33" s="1" t="s">
        <v>74</v>
      </c>
      <c r="I33" s="1" t="s">
        <v>14</v>
      </c>
      <c r="J33" s="1" t="s">
        <v>264</v>
      </c>
      <c r="K33" s="1">
        <v>1895</v>
      </c>
      <c r="L33" s="1" t="s">
        <v>1191</v>
      </c>
      <c r="M33" s="1" t="s">
        <v>14</v>
      </c>
      <c r="P33" s="1" t="s">
        <v>169</v>
      </c>
      <c r="Q33" s="1" t="s">
        <v>169</v>
      </c>
      <c r="R33" s="1" t="s">
        <v>1135</v>
      </c>
      <c r="S33" s="2" t="s">
        <v>3</v>
      </c>
      <c r="T33" s="2" t="s">
        <v>3</v>
      </c>
    </row>
    <row r="34" spans="1:21" ht="34" x14ac:dyDescent="0.2">
      <c r="A34" s="20" t="s">
        <v>407</v>
      </c>
      <c r="B34" s="6" t="s">
        <v>1</v>
      </c>
      <c r="C34" s="6" t="s">
        <v>280</v>
      </c>
      <c r="D34" s="6" t="s">
        <v>281</v>
      </c>
      <c r="E34" s="6"/>
      <c r="F34" s="6">
        <v>1895</v>
      </c>
      <c r="G34" s="6">
        <v>38</v>
      </c>
      <c r="H34" s="1" t="s">
        <v>74</v>
      </c>
      <c r="I34" s="1" t="s">
        <v>5</v>
      </c>
      <c r="K34" s="1">
        <v>1895</v>
      </c>
      <c r="L34" s="1" t="s">
        <v>1191</v>
      </c>
      <c r="M34" s="1" t="s">
        <v>14</v>
      </c>
      <c r="P34" s="1" t="s">
        <v>169</v>
      </c>
      <c r="Q34" s="1" t="s">
        <v>169</v>
      </c>
      <c r="R34" s="1" t="s">
        <v>1151</v>
      </c>
      <c r="S34" s="2" t="s">
        <v>0</v>
      </c>
      <c r="T34" s="2" t="s">
        <v>76</v>
      </c>
    </row>
    <row r="35" spans="1:21" ht="34" x14ac:dyDescent="0.2">
      <c r="A35" s="20" t="s">
        <v>408</v>
      </c>
      <c r="B35" s="6" t="s">
        <v>1</v>
      </c>
      <c r="C35" s="6" t="s">
        <v>280</v>
      </c>
      <c r="D35" s="6" t="s">
        <v>281</v>
      </c>
      <c r="E35" s="6"/>
      <c r="F35" s="6">
        <v>1895</v>
      </c>
      <c r="G35" s="6">
        <v>45</v>
      </c>
      <c r="H35" s="1" t="s">
        <v>74</v>
      </c>
      <c r="I35" s="1" t="s">
        <v>6</v>
      </c>
      <c r="K35" s="1" t="s">
        <v>262</v>
      </c>
      <c r="L35" s="1" t="s">
        <v>262</v>
      </c>
      <c r="M35" s="1" t="s">
        <v>14</v>
      </c>
      <c r="P35" s="1" t="s">
        <v>169</v>
      </c>
      <c r="Q35" s="1" t="s">
        <v>169</v>
      </c>
      <c r="R35" s="1" t="s">
        <v>1151</v>
      </c>
      <c r="S35" s="2" t="s">
        <v>0</v>
      </c>
      <c r="T35" s="2" t="s">
        <v>205</v>
      </c>
    </row>
    <row r="36" spans="1:21" ht="102" x14ac:dyDescent="0.2">
      <c r="A36" s="20" t="s">
        <v>409</v>
      </c>
      <c r="B36" s="2" t="s">
        <v>1</v>
      </c>
      <c r="C36" s="6" t="s">
        <v>280</v>
      </c>
      <c r="D36" s="6" t="s">
        <v>281</v>
      </c>
      <c r="E36" s="6"/>
      <c r="F36" s="2">
        <v>1895</v>
      </c>
      <c r="G36" s="2">
        <v>11</v>
      </c>
      <c r="H36" s="1" t="s">
        <v>74</v>
      </c>
      <c r="I36" s="1" t="s">
        <v>990</v>
      </c>
      <c r="J36" s="1" t="s">
        <v>190</v>
      </c>
      <c r="K36" s="1" t="s">
        <v>262</v>
      </c>
      <c r="L36" s="1" t="s">
        <v>262</v>
      </c>
      <c r="M36" s="1" t="s">
        <v>168</v>
      </c>
      <c r="P36" s="1" t="s">
        <v>169</v>
      </c>
      <c r="Q36" s="1" t="s">
        <v>169</v>
      </c>
      <c r="R36" s="1" t="s">
        <v>1151</v>
      </c>
      <c r="S36" s="1" t="s">
        <v>0</v>
      </c>
      <c r="T36" s="2" t="s">
        <v>205</v>
      </c>
    </row>
    <row r="37" spans="1:21" ht="102" x14ac:dyDescent="0.2">
      <c r="A37" s="20" t="s">
        <v>410</v>
      </c>
      <c r="B37" s="2" t="s">
        <v>1</v>
      </c>
      <c r="C37" s="6" t="s">
        <v>280</v>
      </c>
      <c r="D37" s="6" t="s">
        <v>281</v>
      </c>
      <c r="E37" s="6"/>
      <c r="F37" s="2">
        <v>1895</v>
      </c>
      <c r="G37" s="2">
        <v>11</v>
      </c>
      <c r="H37" s="1" t="s">
        <v>74</v>
      </c>
      <c r="I37" s="1" t="s">
        <v>991</v>
      </c>
      <c r="K37" s="1" t="s">
        <v>262</v>
      </c>
      <c r="L37" s="1" t="s">
        <v>262</v>
      </c>
      <c r="M37" s="1" t="s">
        <v>29</v>
      </c>
      <c r="N37" s="4" t="s">
        <v>11</v>
      </c>
      <c r="O37" s="5">
        <v>147.321425002133</v>
      </c>
      <c r="P37" s="1" t="s">
        <v>167</v>
      </c>
      <c r="Q37" s="1" t="s">
        <v>1219</v>
      </c>
      <c r="R37" s="1" t="s">
        <v>1151</v>
      </c>
      <c r="S37" s="2" t="s">
        <v>0</v>
      </c>
      <c r="T37" s="2" t="s">
        <v>205</v>
      </c>
    </row>
    <row r="38" spans="1:21" ht="51" x14ac:dyDescent="0.2">
      <c r="A38" s="20" t="s">
        <v>411</v>
      </c>
      <c r="B38" s="6" t="s">
        <v>1</v>
      </c>
      <c r="C38" s="6" t="s">
        <v>280</v>
      </c>
      <c r="D38" s="6" t="s">
        <v>281</v>
      </c>
      <c r="E38" s="6"/>
      <c r="F38" s="6">
        <v>1895</v>
      </c>
      <c r="G38" s="6">
        <v>37</v>
      </c>
      <c r="H38" s="1" t="s">
        <v>74</v>
      </c>
      <c r="I38" s="1" t="s">
        <v>989</v>
      </c>
      <c r="K38" s="1" t="s">
        <v>262</v>
      </c>
      <c r="L38" s="1" t="s">
        <v>262</v>
      </c>
      <c r="M38" s="1" t="s">
        <v>13</v>
      </c>
      <c r="P38" s="1" t="s">
        <v>169</v>
      </c>
      <c r="Q38" s="1" t="s">
        <v>169</v>
      </c>
      <c r="R38" s="1" t="s">
        <v>1151</v>
      </c>
      <c r="S38" s="2" t="s">
        <v>0</v>
      </c>
      <c r="T38" s="2" t="s">
        <v>205</v>
      </c>
    </row>
    <row r="39" spans="1:21" ht="51" x14ac:dyDescent="0.2">
      <c r="A39" s="20" t="s">
        <v>412</v>
      </c>
      <c r="B39" s="2" t="s">
        <v>347</v>
      </c>
      <c r="C39" s="2" t="s">
        <v>263</v>
      </c>
      <c r="D39" s="2" t="s">
        <v>263</v>
      </c>
      <c r="F39" s="2">
        <v>1886</v>
      </c>
      <c r="H39" s="1" t="s">
        <v>74</v>
      </c>
      <c r="I39" s="1" t="s">
        <v>1136</v>
      </c>
      <c r="J39" s="1" t="s">
        <v>1304</v>
      </c>
      <c r="K39" s="1">
        <v>1886</v>
      </c>
      <c r="L39" s="1" t="s">
        <v>1193</v>
      </c>
      <c r="M39" s="1" t="s">
        <v>46</v>
      </c>
      <c r="N39" s="4" t="s">
        <v>270</v>
      </c>
      <c r="O39" s="5" t="s">
        <v>271</v>
      </c>
      <c r="P39" s="1" t="s">
        <v>167</v>
      </c>
      <c r="Q39" s="1" t="s">
        <v>220</v>
      </c>
      <c r="R39" s="1" t="s">
        <v>1134</v>
      </c>
      <c r="S39" s="1" t="s">
        <v>203</v>
      </c>
      <c r="T39" s="1" t="s">
        <v>51</v>
      </c>
    </row>
    <row r="40" spans="1:21" ht="153" x14ac:dyDescent="0.2">
      <c r="A40" s="20" t="s">
        <v>413</v>
      </c>
      <c r="B40" s="1" t="s">
        <v>315</v>
      </c>
      <c r="C40" s="2" t="s">
        <v>263</v>
      </c>
      <c r="D40" s="2" t="s">
        <v>263</v>
      </c>
      <c r="E40" s="2" t="s">
        <v>810</v>
      </c>
      <c r="F40" s="2">
        <v>1865</v>
      </c>
      <c r="G40" s="2">
        <v>5</v>
      </c>
      <c r="H40" s="1" t="s">
        <v>74</v>
      </c>
      <c r="I40" s="1" t="s">
        <v>1137</v>
      </c>
      <c r="K40" s="1">
        <v>1865</v>
      </c>
      <c r="L40" s="1" t="s">
        <v>1190</v>
      </c>
      <c r="M40" s="1" t="s">
        <v>29</v>
      </c>
      <c r="N40" s="4" t="s">
        <v>11</v>
      </c>
      <c r="O40" s="5">
        <v>147.321425002133</v>
      </c>
      <c r="P40" s="1" t="s">
        <v>167</v>
      </c>
      <c r="Q40" s="1" t="s">
        <v>1219</v>
      </c>
      <c r="R40" s="1" t="s">
        <v>1138</v>
      </c>
      <c r="S40" s="2" t="s">
        <v>3</v>
      </c>
      <c r="T40" s="2" t="s">
        <v>3</v>
      </c>
    </row>
    <row r="41" spans="1:21" ht="51" x14ac:dyDescent="0.2">
      <c r="A41" s="20" t="s">
        <v>414</v>
      </c>
      <c r="B41" s="2" t="s">
        <v>114</v>
      </c>
      <c r="C41" s="2" t="s">
        <v>115</v>
      </c>
      <c r="F41" s="2">
        <v>2019</v>
      </c>
      <c r="G41" s="2">
        <v>38</v>
      </c>
      <c r="H41" s="1" t="s">
        <v>74</v>
      </c>
      <c r="I41" s="1" t="s">
        <v>992</v>
      </c>
      <c r="K41" s="1" t="s">
        <v>583</v>
      </c>
      <c r="L41" s="1" t="s">
        <v>1256</v>
      </c>
      <c r="M41" s="1" t="s">
        <v>121</v>
      </c>
      <c r="N41" s="4" t="s">
        <v>122</v>
      </c>
      <c r="O41" s="5" t="s">
        <v>123</v>
      </c>
      <c r="P41" s="1" t="s">
        <v>167</v>
      </c>
      <c r="Q41" s="1" t="s">
        <v>220</v>
      </c>
      <c r="R41" s="1" t="s">
        <v>1139</v>
      </c>
      <c r="S41" s="1" t="s">
        <v>247</v>
      </c>
      <c r="T41" s="2" t="s">
        <v>137</v>
      </c>
    </row>
    <row r="42" spans="1:21" ht="68" x14ac:dyDescent="0.2">
      <c r="A42" s="20" t="s">
        <v>415</v>
      </c>
      <c r="B42" s="2" t="s">
        <v>114</v>
      </c>
      <c r="C42" s="2" t="s">
        <v>115</v>
      </c>
      <c r="F42" s="2">
        <v>2019</v>
      </c>
      <c r="G42" s="2">
        <v>42</v>
      </c>
      <c r="H42" s="1" t="s">
        <v>74</v>
      </c>
      <c r="I42" s="1" t="s">
        <v>993</v>
      </c>
      <c r="K42" s="1" t="s">
        <v>581</v>
      </c>
      <c r="L42" s="1" t="s">
        <v>1256</v>
      </c>
      <c r="M42" s="1" t="s">
        <v>133</v>
      </c>
      <c r="P42" s="1" t="s">
        <v>169</v>
      </c>
      <c r="Q42" s="1" t="s">
        <v>169</v>
      </c>
      <c r="R42" s="1" t="s">
        <v>1131</v>
      </c>
      <c r="S42" s="2" t="s">
        <v>66</v>
      </c>
      <c r="T42" s="2" t="s">
        <v>66</v>
      </c>
    </row>
    <row r="43" spans="1:21" ht="68" x14ac:dyDescent="0.2">
      <c r="A43" s="20" t="s">
        <v>416</v>
      </c>
      <c r="B43" s="2" t="s">
        <v>114</v>
      </c>
      <c r="C43" s="2" t="s">
        <v>115</v>
      </c>
      <c r="F43" s="2">
        <v>2019</v>
      </c>
      <c r="G43" s="2">
        <v>38</v>
      </c>
      <c r="H43" s="1" t="s">
        <v>74</v>
      </c>
      <c r="I43" s="1" t="s">
        <v>994</v>
      </c>
      <c r="J43" s="1" t="s">
        <v>580</v>
      </c>
      <c r="K43" s="1" t="s">
        <v>583</v>
      </c>
      <c r="L43" s="1" t="s">
        <v>1256</v>
      </c>
      <c r="M43" s="1" t="s">
        <v>195</v>
      </c>
      <c r="P43" s="1" t="s">
        <v>169</v>
      </c>
      <c r="Q43" s="1" t="s">
        <v>169</v>
      </c>
      <c r="R43" s="1" t="s">
        <v>1151</v>
      </c>
      <c r="S43" s="2" t="s">
        <v>247</v>
      </c>
      <c r="T43" s="2" t="s">
        <v>599</v>
      </c>
    </row>
    <row r="44" spans="1:21" ht="85" x14ac:dyDescent="0.2">
      <c r="A44" s="20" t="s">
        <v>417</v>
      </c>
      <c r="B44" s="2" t="s">
        <v>114</v>
      </c>
      <c r="C44" s="2" t="s">
        <v>115</v>
      </c>
      <c r="F44" s="2">
        <v>2019</v>
      </c>
      <c r="G44" s="2">
        <v>75</v>
      </c>
      <c r="H44" s="1" t="s">
        <v>74</v>
      </c>
      <c r="I44" s="1" t="s">
        <v>995</v>
      </c>
      <c r="J44" s="7" t="s">
        <v>591</v>
      </c>
      <c r="K44" s="1" t="s">
        <v>583</v>
      </c>
      <c r="L44" s="1" t="s">
        <v>1256</v>
      </c>
      <c r="M44" s="1" t="s">
        <v>1268</v>
      </c>
      <c r="N44" s="4" t="s">
        <v>211</v>
      </c>
      <c r="O44" s="5" t="s">
        <v>212</v>
      </c>
      <c r="P44" s="1" t="s">
        <v>167</v>
      </c>
      <c r="Q44" s="1" t="s">
        <v>1219</v>
      </c>
      <c r="R44" s="1" t="s">
        <v>1151</v>
      </c>
      <c r="S44" s="1" t="s">
        <v>0</v>
      </c>
      <c r="T44" s="2" t="s">
        <v>76</v>
      </c>
    </row>
    <row r="45" spans="1:21" ht="51" x14ac:dyDescent="0.2">
      <c r="A45" s="20" t="s">
        <v>418</v>
      </c>
      <c r="B45" s="2" t="s">
        <v>114</v>
      </c>
      <c r="C45" s="2" t="s">
        <v>115</v>
      </c>
      <c r="F45" s="2">
        <v>2019</v>
      </c>
      <c r="G45" s="2">
        <v>39</v>
      </c>
      <c r="H45" s="1" t="s">
        <v>74</v>
      </c>
      <c r="I45" s="1" t="s">
        <v>996</v>
      </c>
      <c r="K45" s="1">
        <v>1900</v>
      </c>
      <c r="L45" s="1">
        <v>1900</v>
      </c>
      <c r="M45" s="1" t="s">
        <v>125</v>
      </c>
      <c r="N45" s="5" t="s">
        <v>126</v>
      </c>
      <c r="O45" s="5" t="s">
        <v>127</v>
      </c>
      <c r="P45" s="1" t="s">
        <v>1246</v>
      </c>
      <c r="Q45" s="1" t="s">
        <v>1219</v>
      </c>
      <c r="R45" s="1" t="s">
        <v>1151</v>
      </c>
      <c r="S45" s="1" t="s">
        <v>0</v>
      </c>
      <c r="T45" s="2" t="s">
        <v>82</v>
      </c>
    </row>
    <row r="46" spans="1:21" ht="68" x14ac:dyDescent="0.2">
      <c r="A46" s="20" t="s">
        <v>419</v>
      </c>
      <c r="B46" s="2" t="s">
        <v>114</v>
      </c>
      <c r="C46" s="2" t="s">
        <v>115</v>
      </c>
      <c r="F46" s="2">
        <v>2019</v>
      </c>
      <c r="G46" s="2">
        <v>40</v>
      </c>
      <c r="H46" s="1" t="s">
        <v>74</v>
      </c>
      <c r="I46" s="1" t="s">
        <v>997</v>
      </c>
      <c r="K46" s="1" t="s">
        <v>583</v>
      </c>
      <c r="L46" s="1" t="s">
        <v>1256</v>
      </c>
      <c r="M46" s="1" t="s">
        <v>128</v>
      </c>
      <c r="N46" s="4" t="s">
        <v>129</v>
      </c>
      <c r="O46" s="5" t="s">
        <v>223</v>
      </c>
      <c r="P46" s="1" t="s">
        <v>167</v>
      </c>
      <c r="Q46" s="1" t="s">
        <v>1219</v>
      </c>
      <c r="R46" s="1" t="s">
        <v>1151</v>
      </c>
      <c r="S46" s="1" t="s">
        <v>0</v>
      </c>
      <c r="T46" s="2" t="s">
        <v>82</v>
      </c>
      <c r="U46" s="2" t="s">
        <v>600</v>
      </c>
    </row>
    <row r="47" spans="1:21" ht="51" x14ac:dyDescent="0.2">
      <c r="A47" s="20" t="s">
        <v>420</v>
      </c>
      <c r="B47" s="2" t="s">
        <v>114</v>
      </c>
      <c r="C47" s="2" t="s">
        <v>115</v>
      </c>
      <c r="F47" s="2">
        <v>2019</v>
      </c>
      <c r="G47" s="2">
        <v>41</v>
      </c>
      <c r="H47" s="1" t="s">
        <v>74</v>
      </c>
      <c r="I47" s="1" t="s">
        <v>998</v>
      </c>
      <c r="K47" s="1">
        <v>1859</v>
      </c>
      <c r="L47" s="1" t="s">
        <v>1189</v>
      </c>
      <c r="M47" s="1" t="s">
        <v>63</v>
      </c>
      <c r="N47" s="4" t="s">
        <v>64</v>
      </c>
      <c r="O47" s="5" t="s">
        <v>65</v>
      </c>
      <c r="P47" s="1" t="s">
        <v>167</v>
      </c>
      <c r="Q47" s="1" t="s">
        <v>1218</v>
      </c>
      <c r="R47" s="1" t="s">
        <v>1131</v>
      </c>
      <c r="S47" s="1" t="s">
        <v>66</v>
      </c>
      <c r="T47" s="1" t="s">
        <v>66</v>
      </c>
    </row>
    <row r="48" spans="1:21" ht="85" x14ac:dyDescent="0.2">
      <c r="A48" s="20" t="s">
        <v>421</v>
      </c>
      <c r="B48" s="2" t="s">
        <v>114</v>
      </c>
      <c r="C48" s="2" t="s">
        <v>115</v>
      </c>
      <c r="F48" s="2">
        <v>2019</v>
      </c>
      <c r="G48" s="2">
        <v>37</v>
      </c>
      <c r="H48" s="1" t="s">
        <v>74</v>
      </c>
      <c r="I48" s="1" t="s">
        <v>999</v>
      </c>
      <c r="K48" s="1" t="s">
        <v>583</v>
      </c>
      <c r="L48" s="1" t="s">
        <v>1256</v>
      </c>
      <c r="M48" s="1" t="s">
        <v>1268</v>
      </c>
      <c r="N48" s="4" t="s">
        <v>116</v>
      </c>
      <c r="O48" s="5" t="s">
        <v>117</v>
      </c>
      <c r="P48" s="1" t="s">
        <v>167</v>
      </c>
      <c r="Q48" s="1" t="s">
        <v>1219</v>
      </c>
      <c r="R48" s="1" t="s">
        <v>1151</v>
      </c>
      <c r="S48" s="2" t="s">
        <v>203</v>
      </c>
      <c r="T48" s="2" t="s">
        <v>90</v>
      </c>
    </row>
    <row r="49" spans="1:20" ht="150" customHeight="1" x14ac:dyDescent="0.2">
      <c r="A49" s="20" t="s">
        <v>422</v>
      </c>
      <c r="B49" s="2" t="s">
        <v>114</v>
      </c>
      <c r="C49" s="2" t="s">
        <v>115</v>
      </c>
      <c r="F49" s="2">
        <v>2019</v>
      </c>
      <c r="G49" s="2">
        <v>37</v>
      </c>
      <c r="H49" s="1" t="s">
        <v>74</v>
      </c>
      <c r="I49" s="1" t="s">
        <v>1000</v>
      </c>
      <c r="K49" s="1" t="s">
        <v>583</v>
      </c>
      <c r="L49" s="1" t="s">
        <v>1256</v>
      </c>
      <c r="M49" s="1" t="s">
        <v>118</v>
      </c>
      <c r="N49" s="46" t="s">
        <v>119</v>
      </c>
      <c r="O49" s="48" t="s">
        <v>120</v>
      </c>
      <c r="P49" s="43" t="s">
        <v>167</v>
      </c>
      <c r="Q49" s="43" t="s">
        <v>1219</v>
      </c>
      <c r="R49" s="1" t="s">
        <v>1151</v>
      </c>
      <c r="S49" s="2" t="s">
        <v>3</v>
      </c>
      <c r="T49" s="2" t="s">
        <v>3</v>
      </c>
    </row>
    <row r="50" spans="1:20" ht="85" x14ac:dyDescent="0.2">
      <c r="A50" s="20" t="s">
        <v>423</v>
      </c>
      <c r="B50" s="2" t="s">
        <v>114</v>
      </c>
      <c r="C50" s="2" t="s">
        <v>115</v>
      </c>
      <c r="F50" s="2">
        <v>2019</v>
      </c>
      <c r="G50" s="2">
        <v>41</v>
      </c>
      <c r="H50" s="1" t="s">
        <v>74</v>
      </c>
      <c r="I50" s="1" t="s">
        <v>1001</v>
      </c>
      <c r="K50" s="1">
        <v>1859</v>
      </c>
      <c r="L50" s="1" t="s">
        <v>1189</v>
      </c>
      <c r="M50" s="1" t="s">
        <v>130</v>
      </c>
      <c r="N50" s="5" t="s">
        <v>131</v>
      </c>
      <c r="O50" s="5" t="s">
        <v>132</v>
      </c>
      <c r="P50" s="1" t="s">
        <v>1246</v>
      </c>
      <c r="Q50" s="1" t="s">
        <v>1219</v>
      </c>
      <c r="R50" s="1" t="s">
        <v>1131</v>
      </c>
      <c r="S50" s="2" t="s">
        <v>66</v>
      </c>
      <c r="T50" s="2" t="s">
        <v>66</v>
      </c>
    </row>
    <row r="51" spans="1:20" ht="51" x14ac:dyDescent="0.2">
      <c r="A51" s="20" t="s">
        <v>424</v>
      </c>
      <c r="B51" s="2" t="s">
        <v>114</v>
      </c>
      <c r="C51" s="2" t="s">
        <v>115</v>
      </c>
      <c r="F51" s="2">
        <v>2019</v>
      </c>
      <c r="G51" s="2">
        <v>74</v>
      </c>
      <c r="H51" s="1" t="s">
        <v>74</v>
      </c>
      <c r="I51" s="1" t="s">
        <v>1002</v>
      </c>
      <c r="K51" s="1" t="s">
        <v>583</v>
      </c>
      <c r="L51" s="1" t="s">
        <v>1256</v>
      </c>
      <c r="M51" s="1" t="s">
        <v>265</v>
      </c>
      <c r="N51" s="4" t="s">
        <v>172</v>
      </c>
      <c r="O51" s="5" t="s">
        <v>173</v>
      </c>
      <c r="P51" s="1" t="s">
        <v>167</v>
      </c>
      <c r="Q51" s="1" t="s">
        <v>220</v>
      </c>
      <c r="R51" s="1" t="s">
        <v>1151</v>
      </c>
      <c r="S51" s="2" t="s">
        <v>247</v>
      </c>
      <c r="T51" s="2" t="s">
        <v>95</v>
      </c>
    </row>
    <row r="52" spans="1:20" ht="85" x14ac:dyDescent="0.2">
      <c r="A52" s="20" t="s">
        <v>425</v>
      </c>
      <c r="B52" s="2" t="s">
        <v>316</v>
      </c>
      <c r="C52" s="6" t="s">
        <v>263</v>
      </c>
      <c r="D52" s="2" t="s">
        <v>263</v>
      </c>
      <c r="E52" s="2" t="s">
        <v>147</v>
      </c>
      <c r="F52" s="2">
        <v>1972</v>
      </c>
      <c r="G52" s="2">
        <v>5</v>
      </c>
      <c r="H52" s="1" t="s">
        <v>74</v>
      </c>
      <c r="I52" s="1" t="s">
        <v>956</v>
      </c>
      <c r="K52" s="1" t="s">
        <v>581</v>
      </c>
      <c r="L52" s="1" t="s">
        <v>1197</v>
      </c>
      <c r="M52" s="1" t="s">
        <v>148</v>
      </c>
      <c r="N52" s="4" t="s">
        <v>174</v>
      </c>
      <c r="O52" s="5" t="s">
        <v>149</v>
      </c>
      <c r="P52" s="1" t="s">
        <v>1246</v>
      </c>
      <c r="Q52" s="1" t="s">
        <v>1219</v>
      </c>
      <c r="R52" s="1" t="s">
        <v>1131</v>
      </c>
      <c r="S52" s="2" t="s">
        <v>66</v>
      </c>
      <c r="T52" s="2" t="s">
        <v>66</v>
      </c>
    </row>
    <row r="53" spans="1:20" ht="85" x14ac:dyDescent="0.2">
      <c r="A53" s="20" t="s">
        <v>426</v>
      </c>
      <c r="B53" s="2" t="s">
        <v>155</v>
      </c>
      <c r="C53" s="1" t="s">
        <v>274</v>
      </c>
      <c r="D53" s="1" t="s">
        <v>275</v>
      </c>
      <c r="E53" s="1"/>
      <c r="F53" s="2">
        <v>1995</v>
      </c>
      <c r="G53" s="2">
        <v>15</v>
      </c>
      <c r="H53" s="1" t="s">
        <v>74</v>
      </c>
      <c r="I53" s="1" t="s">
        <v>1003</v>
      </c>
      <c r="K53" s="1" t="s">
        <v>581</v>
      </c>
      <c r="L53" s="1" t="s">
        <v>1197</v>
      </c>
      <c r="M53" s="1" t="s">
        <v>36</v>
      </c>
      <c r="N53" s="8" t="s">
        <v>12</v>
      </c>
      <c r="O53" s="9">
        <v>146.85613215622399</v>
      </c>
      <c r="P53" s="10" t="s">
        <v>167</v>
      </c>
      <c r="Q53" s="1" t="s">
        <v>1219</v>
      </c>
      <c r="R53" s="1" t="s">
        <v>1151</v>
      </c>
      <c r="S53" s="2" t="s">
        <v>247</v>
      </c>
      <c r="T53" s="2" t="s">
        <v>207</v>
      </c>
    </row>
    <row r="54" spans="1:20" ht="51" x14ac:dyDescent="0.2">
      <c r="A54" s="20" t="s">
        <v>427</v>
      </c>
      <c r="B54" s="2" t="s">
        <v>304</v>
      </c>
      <c r="C54" s="2" t="s">
        <v>305</v>
      </c>
      <c r="D54" s="2" t="s">
        <v>306</v>
      </c>
      <c r="F54" s="2">
        <v>2000</v>
      </c>
      <c r="G54" s="2">
        <v>11</v>
      </c>
      <c r="H54" s="1" t="s">
        <v>74</v>
      </c>
      <c r="I54" s="1" t="s">
        <v>1004</v>
      </c>
      <c r="K54" s="1">
        <v>1848</v>
      </c>
      <c r="L54" s="1" t="s">
        <v>1194</v>
      </c>
      <c r="M54" s="1" t="s">
        <v>104</v>
      </c>
      <c r="N54" s="4" t="s">
        <v>187</v>
      </c>
      <c r="O54" s="5" t="s">
        <v>188</v>
      </c>
      <c r="P54" s="1" t="s">
        <v>167</v>
      </c>
      <c r="Q54" s="1" t="s">
        <v>1219</v>
      </c>
      <c r="R54" s="1" t="s">
        <v>1140</v>
      </c>
      <c r="S54" s="1" t="s">
        <v>203</v>
      </c>
      <c r="T54" s="2" t="s">
        <v>90</v>
      </c>
    </row>
    <row r="55" spans="1:20" ht="85" x14ac:dyDescent="0.2">
      <c r="A55" s="20" t="s">
        <v>428</v>
      </c>
      <c r="B55" s="2" t="s">
        <v>304</v>
      </c>
      <c r="C55" s="2" t="s">
        <v>305</v>
      </c>
      <c r="D55" s="2" t="s">
        <v>306</v>
      </c>
      <c r="F55" s="2">
        <v>2000</v>
      </c>
      <c r="G55" s="2">
        <v>7</v>
      </c>
      <c r="H55" s="1" t="s">
        <v>74</v>
      </c>
      <c r="I55" s="1" t="s">
        <v>1005</v>
      </c>
      <c r="J55" s="1" t="s">
        <v>307</v>
      </c>
      <c r="K55" s="1" t="s">
        <v>262</v>
      </c>
      <c r="L55" s="1" t="s">
        <v>262</v>
      </c>
      <c r="M55" s="1" t="s">
        <v>128</v>
      </c>
      <c r="N55" s="4" t="s">
        <v>129</v>
      </c>
      <c r="O55" s="5" t="s">
        <v>223</v>
      </c>
      <c r="P55" s="1" t="s">
        <v>167</v>
      </c>
      <c r="Q55" s="1" t="s">
        <v>1219</v>
      </c>
      <c r="R55" s="1" t="s">
        <v>1151</v>
      </c>
      <c r="S55" s="1" t="s">
        <v>0</v>
      </c>
      <c r="T55" s="2" t="s">
        <v>205</v>
      </c>
    </row>
    <row r="56" spans="1:20" ht="85" x14ac:dyDescent="0.2">
      <c r="A56" s="20" t="s">
        <v>429</v>
      </c>
      <c r="B56" s="2" t="s">
        <v>304</v>
      </c>
      <c r="C56" s="2" t="s">
        <v>305</v>
      </c>
      <c r="D56" s="2" t="s">
        <v>306</v>
      </c>
      <c r="F56" s="2">
        <v>2000</v>
      </c>
      <c r="G56" s="2">
        <v>7</v>
      </c>
      <c r="H56" s="1" t="s">
        <v>74</v>
      </c>
      <c r="I56" s="1" t="s">
        <v>1005</v>
      </c>
      <c r="J56" s="1" t="s">
        <v>307</v>
      </c>
      <c r="K56" s="1" t="s">
        <v>262</v>
      </c>
      <c r="L56" s="1" t="s">
        <v>262</v>
      </c>
      <c r="M56" s="1" t="s">
        <v>313</v>
      </c>
      <c r="N56" s="4" t="s">
        <v>325</v>
      </c>
      <c r="O56" s="5" t="s">
        <v>326</v>
      </c>
      <c r="P56" s="1" t="s">
        <v>167</v>
      </c>
      <c r="Q56" s="1" t="s">
        <v>1219</v>
      </c>
      <c r="R56" s="1" t="s">
        <v>1151</v>
      </c>
      <c r="S56" s="1" t="s">
        <v>0</v>
      </c>
      <c r="T56" s="2" t="s">
        <v>205</v>
      </c>
    </row>
    <row r="57" spans="1:20" ht="51" x14ac:dyDescent="0.2">
      <c r="A57" s="20" t="s">
        <v>430</v>
      </c>
      <c r="B57" s="2" t="s">
        <v>304</v>
      </c>
      <c r="C57" s="2" t="s">
        <v>305</v>
      </c>
      <c r="D57" s="2" t="s">
        <v>306</v>
      </c>
      <c r="F57" s="2">
        <v>2000</v>
      </c>
      <c r="G57" s="2">
        <v>17</v>
      </c>
      <c r="H57" s="1" t="s">
        <v>74</v>
      </c>
      <c r="I57" s="1" t="s">
        <v>1006</v>
      </c>
      <c r="J57" s="1" t="s">
        <v>307</v>
      </c>
      <c r="K57" s="1">
        <v>1895</v>
      </c>
      <c r="L57" s="1" t="s">
        <v>1191</v>
      </c>
      <c r="M57" s="1" t="s">
        <v>313</v>
      </c>
      <c r="N57" s="4" t="s">
        <v>325</v>
      </c>
      <c r="O57" s="5" t="s">
        <v>326</v>
      </c>
      <c r="P57" s="1" t="s">
        <v>167</v>
      </c>
      <c r="Q57" s="1" t="s">
        <v>1219</v>
      </c>
      <c r="R57" s="1" t="s">
        <v>1132</v>
      </c>
      <c r="S57" s="1" t="s">
        <v>203</v>
      </c>
      <c r="T57" s="2" t="s">
        <v>135</v>
      </c>
    </row>
    <row r="58" spans="1:20" ht="34" x14ac:dyDescent="0.2">
      <c r="A58" s="20" t="s">
        <v>431</v>
      </c>
      <c r="B58" s="2" t="s">
        <v>304</v>
      </c>
      <c r="C58" s="2" t="s">
        <v>305</v>
      </c>
      <c r="D58" s="2" t="s">
        <v>306</v>
      </c>
      <c r="F58" s="2">
        <v>2000</v>
      </c>
      <c r="G58" s="2">
        <v>8</v>
      </c>
      <c r="H58" s="1" t="s">
        <v>74</v>
      </c>
      <c r="I58" s="1" t="s">
        <v>1007</v>
      </c>
      <c r="J58" s="1" t="s">
        <v>308</v>
      </c>
      <c r="K58" s="1" t="s">
        <v>309</v>
      </c>
      <c r="L58" s="1" t="s">
        <v>1191</v>
      </c>
      <c r="M58" s="1" t="s">
        <v>310</v>
      </c>
      <c r="N58" s="4" t="s">
        <v>329</v>
      </c>
      <c r="O58" s="5" t="s">
        <v>330</v>
      </c>
      <c r="P58" s="1" t="s">
        <v>167</v>
      </c>
      <c r="Q58" s="1" t="s">
        <v>1219</v>
      </c>
      <c r="R58" s="1" t="s">
        <v>1134</v>
      </c>
      <c r="S58" s="1" t="s">
        <v>203</v>
      </c>
      <c r="T58" s="2" t="s">
        <v>51</v>
      </c>
    </row>
    <row r="59" spans="1:20" ht="85" x14ac:dyDescent="0.2">
      <c r="A59" s="20" t="s">
        <v>432</v>
      </c>
      <c r="B59" s="2" t="s">
        <v>304</v>
      </c>
      <c r="C59" s="2" t="s">
        <v>305</v>
      </c>
      <c r="D59" s="2" t="s">
        <v>306</v>
      </c>
      <c r="F59" s="2">
        <v>2000</v>
      </c>
      <c r="G59" s="2">
        <v>7</v>
      </c>
      <c r="H59" s="1" t="s">
        <v>74</v>
      </c>
      <c r="I59" s="1" t="s">
        <v>1005</v>
      </c>
      <c r="J59" s="1" t="s">
        <v>307</v>
      </c>
      <c r="K59" s="1" t="s">
        <v>262</v>
      </c>
      <c r="L59" s="1" t="s">
        <v>262</v>
      </c>
      <c r="M59" s="1" t="s">
        <v>29</v>
      </c>
      <c r="N59" s="4" t="s">
        <v>11</v>
      </c>
      <c r="O59" s="5">
        <v>147.321425002133</v>
      </c>
      <c r="P59" s="1" t="s">
        <v>167</v>
      </c>
      <c r="Q59" s="1" t="s">
        <v>1219</v>
      </c>
      <c r="R59" s="1" t="s">
        <v>1151</v>
      </c>
      <c r="S59" s="1" t="s">
        <v>0</v>
      </c>
      <c r="T59" s="2" t="s">
        <v>205</v>
      </c>
    </row>
    <row r="60" spans="1:20" ht="75" customHeight="1" x14ac:dyDescent="0.2">
      <c r="A60" s="20" t="s">
        <v>433</v>
      </c>
      <c r="B60" s="2" t="s">
        <v>304</v>
      </c>
      <c r="C60" s="2" t="s">
        <v>305</v>
      </c>
      <c r="D60" s="2" t="s">
        <v>306</v>
      </c>
      <c r="F60" s="2">
        <v>2000</v>
      </c>
      <c r="G60" s="2">
        <v>11</v>
      </c>
      <c r="H60" s="1" t="s">
        <v>74</v>
      </c>
      <c r="I60" s="1" t="s">
        <v>1008</v>
      </c>
      <c r="J60" s="1" t="s">
        <v>312</v>
      </c>
      <c r="K60" s="1" t="s">
        <v>311</v>
      </c>
      <c r="L60" s="1" t="s">
        <v>1197</v>
      </c>
      <c r="M60" s="1" t="s">
        <v>134</v>
      </c>
      <c r="P60" s="1" t="s">
        <v>169</v>
      </c>
      <c r="Q60" s="1" t="s">
        <v>169</v>
      </c>
      <c r="R60" s="1" t="s">
        <v>1132</v>
      </c>
      <c r="S60" s="1" t="s">
        <v>203</v>
      </c>
      <c r="T60" s="2" t="s">
        <v>37</v>
      </c>
    </row>
    <row r="61" spans="1:20" ht="147" customHeight="1" x14ac:dyDescent="0.2">
      <c r="A61" s="20" t="s">
        <v>434</v>
      </c>
      <c r="B61" s="2" t="s">
        <v>317</v>
      </c>
      <c r="C61" s="6" t="s">
        <v>263</v>
      </c>
      <c r="D61" s="1" t="s">
        <v>263</v>
      </c>
      <c r="E61" s="1" t="s">
        <v>143</v>
      </c>
      <c r="F61" s="2">
        <v>1950</v>
      </c>
      <c r="G61" s="2">
        <v>11</v>
      </c>
      <c r="H61" s="1" t="s">
        <v>74</v>
      </c>
      <c r="I61" s="1" t="s">
        <v>963</v>
      </c>
      <c r="J61" s="1" t="s">
        <v>592</v>
      </c>
      <c r="K61" s="1">
        <v>1900</v>
      </c>
      <c r="L61" s="1">
        <v>1900</v>
      </c>
      <c r="M61" s="1" t="s">
        <v>206</v>
      </c>
      <c r="N61" s="4" t="s">
        <v>208</v>
      </c>
      <c r="O61" s="5" t="s">
        <v>209</v>
      </c>
      <c r="P61" s="1" t="s">
        <v>167</v>
      </c>
      <c r="Q61" s="1" t="s">
        <v>1219</v>
      </c>
      <c r="R61" s="1" t="s">
        <v>1151</v>
      </c>
      <c r="S61" s="2" t="s">
        <v>203</v>
      </c>
      <c r="T61" s="2" t="s">
        <v>135</v>
      </c>
    </row>
    <row r="62" spans="1:20" ht="51" x14ac:dyDescent="0.2">
      <c r="A62" s="20" t="s">
        <v>435</v>
      </c>
      <c r="B62" s="1" t="s">
        <v>245</v>
      </c>
      <c r="C62" s="2" t="s">
        <v>286</v>
      </c>
      <c r="D62" s="2" t="s">
        <v>287</v>
      </c>
      <c r="F62" s="2">
        <v>2007</v>
      </c>
      <c r="G62" s="2">
        <v>108</v>
      </c>
      <c r="H62" s="1" t="s">
        <v>74</v>
      </c>
      <c r="I62" s="1" t="s">
        <v>1009</v>
      </c>
      <c r="K62" s="1" t="s">
        <v>266</v>
      </c>
      <c r="L62" s="1" t="s">
        <v>1256</v>
      </c>
      <c r="M62" s="1" t="s">
        <v>36</v>
      </c>
      <c r="N62" s="4" t="s">
        <v>12</v>
      </c>
      <c r="O62" s="5">
        <v>146.85613215622399</v>
      </c>
      <c r="P62" s="1" t="s">
        <v>167</v>
      </c>
      <c r="Q62" s="1" t="s">
        <v>1219</v>
      </c>
      <c r="R62" s="1" t="s">
        <v>1151</v>
      </c>
      <c r="S62" s="2" t="s">
        <v>203</v>
      </c>
      <c r="T62" s="2" t="s">
        <v>90</v>
      </c>
    </row>
    <row r="63" spans="1:20" ht="102" x14ac:dyDescent="0.2">
      <c r="A63" s="20" t="s">
        <v>436</v>
      </c>
      <c r="B63" s="1" t="s">
        <v>335</v>
      </c>
      <c r="C63" s="2" t="s">
        <v>336</v>
      </c>
      <c r="D63" s="2" t="s">
        <v>337</v>
      </c>
      <c r="F63" s="2">
        <v>1848</v>
      </c>
      <c r="G63" s="2">
        <v>77</v>
      </c>
      <c r="H63" s="1" t="s">
        <v>74</v>
      </c>
      <c r="I63" s="1" t="s">
        <v>1010</v>
      </c>
      <c r="J63" s="1" t="s">
        <v>1141</v>
      </c>
      <c r="K63" s="1">
        <v>1846</v>
      </c>
      <c r="L63" s="1" t="s">
        <v>1194</v>
      </c>
      <c r="M63" s="1" t="s">
        <v>168</v>
      </c>
      <c r="P63" s="1" t="s">
        <v>169</v>
      </c>
      <c r="Q63" s="1" t="s">
        <v>169</v>
      </c>
      <c r="R63" s="1" t="s">
        <v>1151</v>
      </c>
      <c r="S63" s="1" t="s">
        <v>203</v>
      </c>
      <c r="T63" s="2" t="s">
        <v>90</v>
      </c>
    </row>
    <row r="64" spans="1:20" ht="51" x14ac:dyDescent="0.2">
      <c r="A64" s="20" t="s">
        <v>437</v>
      </c>
      <c r="B64" s="1" t="s">
        <v>335</v>
      </c>
      <c r="C64" s="2" t="s">
        <v>336</v>
      </c>
      <c r="D64" s="2" t="s">
        <v>337</v>
      </c>
      <c r="F64" s="2">
        <v>1848</v>
      </c>
      <c r="G64" s="2">
        <v>80</v>
      </c>
      <c r="H64" s="1" t="s">
        <v>74</v>
      </c>
      <c r="I64" s="1" t="s">
        <v>1011</v>
      </c>
      <c r="K64" s="1">
        <v>1846</v>
      </c>
      <c r="L64" s="1" t="s">
        <v>1194</v>
      </c>
      <c r="M64" s="1" t="s">
        <v>77</v>
      </c>
      <c r="N64" s="4" t="s">
        <v>78</v>
      </c>
      <c r="O64" s="5" t="s">
        <v>79</v>
      </c>
      <c r="P64" s="1" t="s">
        <v>167</v>
      </c>
      <c r="Q64" s="1" t="s">
        <v>1219</v>
      </c>
      <c r="R64" s="1" t="s">
        <v>1142</v>
      </c>
      <c r="S64" s="1" t="s">
        <v>203</v>
      </c>
      <c r="T64" s="2" t="s">
        <v>90</v>
      </c>
    </row>
    <row r="65" spans="1:22" ht="51" x14ac:dyDescent="0.2">
      <c r="A65" s="20" t="s">
        <v>438</v>
      </c>
      <c r="B65" s="1" t="s">
        <v>335</v>
      </c>
      <c r="C65" s="2" t="s">
        <v>336</v>
      </c>
      <c r="D65" s="2" t="s">
        <v>337</v>
      </c>
      <c r="F65" s="2">
        <v>1848</v>
      </c>
      <c r="G65" s="2">
        <v>81</v>
      </c>
      <c r="H65" s="1" t="s">
        <v>74</v>
      </c>
      <c r="I65" s="1" t="s">
        <v>1012</v>
      </c>
      <c r="K65" s="1">
        <v>1846</v>
      </c>
      <c r="L65" s="1" t="s">
        <v>1194</v>
      </c>
      <c r="M65" s="1" t="s">
        <v>338</v>
      </c>
      <c r="P65" s="1" t="s">
        <v>169</v>
      </c>
      <c r="Q65" s="1" t="s">
        <v>169</v>
      </c>
      <c r="R65" s="1" t="s">
        <v>1142</v>
      </c>
      <c r="S65" s="1" t="s">
        <v>3</v>
      </c>
      <c r="T65" s="2" t="s">
        <v>3</v>
      </c>
    </row>
    <row r="66" spans="1:22" ht="51" x14ac:dyDescent="0.2">
      <c r="A66" s="20" t="s">
        <v>439</v>
      </c>
      <c r="B66" s="1" t="s">
        <v>335</v>
      </c>
      <c r="C66" s="2" t="s">
        <v>336</v>
      </c>
      <c r="D66" s="2" t="s">
        <v>337</v>
      </c>
      <c r="F66" s="2">
        <v>1848</v>
      </c>
      <c r="G66" s="2">
        <v>81</v>
      </c>
      <c r="H66" s="1" t="s">
        <v>74</v>
      </c>
      <c r="I66" s="1" t="s">
        <v>1013</v>
      </c>
      <c r="K66" s="1">
        <v>1846</v>
      </c>
      <c r="L66" s="1" t="s">
        <v>1194</v>
      </c>
      <c r="M66" s="1" t="s">
        <v>339</v>
      </c>
      <c r="P66" s="1" t="s">
        <v>169</v>
      </c>
      <c r="Q66" s="1" t="s">
        <v>169</v>
      </c>
      <c r="R66" s="1" t="s">
        <v>1142</v>
      </c>
      <c r="S66" s="1" t="s">
        <v>3</v>
      </c>
      <c r="T66" s="2" t="s">
        <v>3</v>
      </c>
    </row>
    <row r="67" spans="1:22" ht="51" x14ac:dyDescent="0.2">
      <c r="A67" s="20" t="s">
        <v>440</v>
      </c>
      <c r="B67" s="1" t="s">
        <v>335</v>
      </c>
      <c r="C67" s="2" t="s">
        <v>336</v>
      </c>
      <c r="D67" s="2" t="s">
        <v>337</v>
      </c>
      <c r="F67" s="2">
        <v>1848</v>
      </c>
      <c r="G67" s="2">
        <v>82</v>
      </c>
      <c r="H67" s="1" t="s">
        <v>74</v>
      </c>
      <c r="I67" s="1" t="s">
        <v>1014</v>
      </c>
      <c r="K67" s="1">
        <v>1846</v>
      </c>
      <c r="L67" s="1" t="s">
        <v>1194</v>
      </c>
      <c r="M67" s="1" t="s">
        <v>340</v>
      </c>
      <c r="P67" s="1" t="s">
        <v>169</v>
      </c>
      <c r="Q67" s="1" t="s">
        <v>169</v>
      </c>
      <c r="R67" s="1" t="s">
        <v>1142</v>
      </c>
      <c r="S67" s="1" t="s">
        <v>3</v>
      </c>
      <c r="T67" s="2" t="s">
        <v>3</v>
      </c>
    </row>
    <row r="68" spans="1:22" ht="51" x14ac:dyDescent="0.2">
      <c r="A68" s="20" t="s">
        <v>441</v>
      </c>
      <c r="B68" s="1" t="s">
        <v>335</v>
      </c>
      <c r="C68" s="2" t="s">
        <v>336</v>
      </c>
      <c r="D68" s="2" t="s">
        <v>337</v>
      </c>
      <c r="F68" s="2">
        <v>1848</v>
      </c>
      <c r="G68" s="2">
        <v>82</v>
      </c>
      <c r="H68" s="1" t="s">
        <v>74</v>
      </c>
      <c r="I68" s="1" t="s">
        <v>1015</v>
      </c>
      <c r="J68" s="4" t="s">
        <v>342</v>
      </c>
      <c r="K68" s="1">
        <v>1846</v>
      </c>
      <c r="L68" s="1" t="s">
        <v>1194</v>
      </c>
      <c r="M68" s="1" t="s">
        <v>340</v>
      </c>
      <c r="P68" s="1" t="s">
        <v>169</v>
      </c>
      <c r="Q68" s="1" t="s">
        <v>169</v>
      </c>
      <c r="R68" s="1" t="s">
        <v>1151</v>
      </c>
      <c r="S68" s="1" t="s">
        <v>203</v>
      </c>
      <c r="T68" s="2" t="s">
        <v>90</v>
      </c>
    </row>
    <row r="69" spans="1:22" ht="51" x14ac:dyDescent="0.2">
      <c r="A69" s="20" t="s">
        <v>442</v>
      </c>
      <c r="B69" s="1" t="s">
        <v>335</v>
      </c>
      <c r="C69" s="2" t="s">
        <v>336</v>
      </c>
      <c r="D69" s="2" t="s">
        <v>337</v>
      </c>
      <c r="F69" s="2">
        <v>1848</v>
      </c>
      <c r="G69" s="2">
        <v>85</v>
      </c>
      <c r="H69" s="1" t="s">
        <v>74</v>
      </c>
      <c r="I69" s="1" t="s">
        <v>1016</v>
      </c>
      <c r="K69" s="1">
        <v>1846</v>
      </c>
      <c r="L69" s="1" t="s">
        <v>1194</v>
      </c>
      <c r="M69" s="1" t="s">
        <v>341</v>
      </c>
      <c r="P69" s="1" t="s">
        <v>169</v>
      </c>
      <c r="Q69" s="1" t="s">
        <v>169</v>
      </c>
      <c r="R69" s="1" t="s">
        <v>1142</v>
      </c>
      <c r="S69" s="1" t="s">
        <v>3</v>
      </c>
      <c r="T69" s="2" t="s">
        <v>3</v>
      </c>
    </row>
    <row r="70" spans="1:22" ht="51" x14ac:dyDescent="0.2">
      <c r="A70" s="20" t="s">
        <v>443</v>
      </c>
      <c r="B70" s="1" t="s">
        <v>335</v>
      </c>
      <c r="C70" s="2" t="s">
        <v>336</v>
      </c>
      <c r="D70" s="2" t="s">
        <v>337</v>
      </c>
      <c r="F70" s="2">
        <v>1848</v>
      </c>
      <c r="G70" s="2">
        <v>90</v>
      </c>
      <c r="H70" s="1" t="s">
        <v>74</v>
      </c>
      <c r="I70" s="1" t="s">
        <v>1017</v>
      </c>
      <c r="K70" s="1">
        <v>1846</v>
      </c>
      <c r="L70" s="1" t="s">
        <v>1194</v>
      </c>
      <c r="M70" s="1" t="s">
        <v>77</v>
      </c>
      <c r="N70" s="4" t="s">
        <v>78</v>
      </c>
      <c r="O70" s="5" t="s">
        <v>79</v>
      </c>
      <c r="P70" s="1" t="s">
        <v>167</v>
      </c>
      <c r="Q70" s="1" t="s">
        <v>1219</v>
      </c>
      <c r="R70" s="1" t="s">
        <v>1151</v>
      </c>
      <c r="S70" s="1" t="s">
        <v>203</v>
      </c>
      <c r="T70" s="2" t="s">
        <v>90</v>
      </c>
    </row>
    <row r="71" spans="1:22" ht="51" x14ac:dyDescent="0.2">
      <c r="A71" s="20" t="s">
        <v>444</v>
      </c>
      <c r="B71" s="1" t="s">
        <v>335</v>
      </c>
      <c r="C71" s="2" t="s">
        <v>336</v>
      </c>
      <c r="D71" s="2" t="s">
        <v>337</v>
      </c>
      <c r="F71" s="2">
        <v>1848</v>
      </c>
      <c r="G71" s="2">
        <v>90</v>
      </c>
      <c r="H71" s="1" t="s">
        <v>74</v>
      </c>
      <c r="I71" s="1" t="s">
        <v>1018</v>
      </c>
      <c r="K71" s="1">
        <v>1846</v>
      </c>
      <c r="L71" s="1" t="s">
        <v>1194</v>
      </c>
      <c r="M71" s="1" t="s">
        <v>77</v>
      </c>
      <c r="N71" s="4" t="s">
        <v>78</v>
      </c>
      <c r="O71" s="5" t="s">
        <v>79</v>
      </c>
      <c r="P71" s="1" t="s">
        <v>167</v>
      </c>
      <c r="Q71" s="1" t="s">
        <v>1219</v>
      </c>
      <c r="R71" s="1" t="s">
        <v>1142</v>
      </c>
      <c r="S71" s="1" t="s">
        <v>203</v>
      </c>
      <c r="T71" s="2" t="s">
        <v>90</v>
      </c>
    </row>
    <row r="72" spans="1:22" ht="51" x14ac:dyDescent="0.2">
      <c r="A72" s="20" t="s">
        <v>445</v>
      </c>
      <c r="B72" s="1" t="s">
        <v>335</v>
      </c>
      <c r="C72" s="2" t="s">
        <v>336</v>
      </c>
      <c r="D72" s="2" t="s">
        <v>337</v>
      </c>
      <c r="F72" s="2">
        <v>1848</v>
      </c>
      <c r="G72" s="2">
        <v>92</v>
      </c>
      <c r="H72" s="1" t="s">
        <v>74</v>
      </c>
      <c r="I72" s="1" t="s">
        <v>1019</v>
      </c>
      <c r="K72" s="1">
        <v>1846</v>
      </c>
      <c r="L72" s="1" t="s">
        <v>1194</v>
      </c>
      <c r="M72" s="1" t="s">
        <v>104</v>
      </c>
      <c r="N72" s="4" t="s">
        <v>187</v>
      </c>
      <c r="O72" s="5" t="s">
        <v>188</v>
      </c>
      <c r="P72" s="1" t="s">
        <v>167</v>
      </c>
      <c r="Q72" s="1" t="s">
        <v>1219</v>
      </c>
      <c r="R72" s="1" t="s">
        <v>1138</v>
      </c>
      <c r="S72" s="1" t="s">
        <v>203</v>
      </c>
      <c r="T72" s="2" t="s">
        <v>90</v>
      </c>
    </row>
    <row r="73" spans="1:22" ht="68" x14ac:dyDescent="0.2">
      <c r="A73" s="20" t="s">
        <v>446</v>
      </c>
      <c r="B73" s="1" t="s">
        <v>335</v>
      </c>
      <c r="C73" s="2" t="s">
        <v>336</v>
      </c>
      <c r="D73" s="2" t="s">
        <v>337</v>
      </c>
      <c r="F73" s="2">
        <v>1848</v>
      </c>
      <c r="G73" s="2">
        <v>98</v>
      </c>
      <c r="H73" s="1" t="s">
        <v>74</v>
      </c>
      <c r="I73" s="1" t="s">
        <v>1020</v>
      </c>
      <c r="K73" s="1">
        <v>1846</v>
      </c>
      <c r="L73" s="1" t="s">
        <v>1194</v>
      </c>
      <c r="M73" s="1" t="s">
        <v>77</v>
      </c>
      <c r="N73" s="4" t="s">
        <v>78</v>
      </c>
      <c r="O73" s="5" t="s">
        <v>79</v>
      </c>
      <c r="P73" s="1" t="s">
        <v>167</v>
      </c>
      <c r="Q73" s="1" t="s">
        <v>1219</v>
      </c>
      <c r="R73" s="1" t="s">
        <v>1139</v>
      </c>
      <c r="S73" s="1" t="s">
        <v>247</v>
      </c>
      <c r="T73" s="2" t="s">
        <v>93</v>
      </c>
    </row>
    <row r="74" spans="1:22" ht="51" x14ac:dyDescent="0.2">
      <c r="A74" s="20" t="s">
        <v>447</v>
      </c>
      <c r="B74" s="1" t="s">
        <v>335</v>
      </c>
      <c r="C74" s="2" t="s">
        <v>336</v>
      </c>
      <c r="D74" s="2" t="s">
        <v>337</v>
      </c>
      <c r="F74" s="2">
        <v>1848</v>
      </c>
      <c r="G74" s="2">
        <v>98</v>
      </c>
      <c r="H74" s="1" t="s">
        <v>74</v>
      </c>
      <c r="I74" s="1" t="s">
        <v>1021</v>
      </c>
      <c r="K74" s="1">
        <v>1846</v>
      </c>
      <c r="L74" s="1" t="s">
        <v>1194</v>
      </c>
      <c r="M74" s="1" t="s">
        <v>77</v>
      </c>
      <c r="N74" s="4" t="s">
        <v>78</v>
      </c>
      <c r="O74" s="5" t="s">
        <v>79</v>
      </c>
      <c r="P74" s="1" t="s">
        <v>167</v>
      </c>
      <c r="Q74" s="1" t="s">
        <v>1219</v>
      </c>
      <c r="R74" s="1" t="s">
        <v>1151</v>
      </c>
      <c r="S74" s="1" t="s">
        <v>203</v>
      </c>
      <c r="T74" s="2" t="s">
        <v>90</v>
      </c>
    </row>
    <row r="75" spans="1:22" ht="51" x14ac:dyDescent="0.2">
      <c r="A75" s="20" t="s">
        <v>448</v>
      </c>
      <c r="B75" s="1" t="s">
        <v>335</v>
      </c>
      <c r="C75" s="2" t="s">
        <v>336</v>
      </c>
      <c r="D75" s="2" t="s">
        <v>337</v>
      </c>
      <c r="F75" s="2">
        <v>1848</v>
      </c>
      <c r="G75" s="2">
        <v>103</v>
      </c>
      <c r="H75" s="1" t="s">
        <v>74</v>
      </c>
      <c r="I75" s="1" t="s">
        <v>1022</v>
      </c>
      <c r="K75" s="1">
        <v>1846</v>
      </c>
      <c r="L75" s="1" t="s">
        <v>1194</v>
      </c>
      <c r="M75" s="1" t="s">
        <v>77</v>
      </c>
      <c r="N75" s="4" t="s">
        <v>78</v>
      </c>
      <c r="O75" s="5" t="s">
        <v>79</v>
      </c>
      <c r="P75" s="1" t="s">
        <v>167</v>
      </c>
      <c r="Q75" s="1" t="s">
        <v>1219</v>
      </c>
      <c r="R75" s="1" t="s">
        <v>1151</v>
      </c>
      <c r="S75" s="1" t="s">
        <v>203</v>
      </c>
      <c r="T75" s="2" t="s">
        <v>90</v>
      </c>
    </row>
    <row r="76" spans="1:22" ht="51" x14ac:dyDescent="0.2">
      <c r="A76" s="20" t="s">
        <v>449</v>
      </c>
      <c r="B76" s="1" t="s">
        <v>335</v>
      </c>
      <c r="C76" s="2" t="s">
        <v>336</v>
      </c>
      <c r="D76" s="2" t="s">
        <v>337</v>
      </c>
      <c r="F76" s="2">
        <v>1848</v>
      </c>
      <c r="G76" s="2">
        <v>103</v>
      </c>
      <c r="H76" s="1" t="s">
        <v>74</v>
      </c>
      <c r="I76" s="1" t="s">
        <v>1023</v>
      </c>
      <c r="K76" s="1">
        <v>1846</v>
      </c>
      <c r="L76" s="1" t="s">
        <v>1194</v>
      </c>
      <c r="M76" s="1" t="s">
        <v>77</v>
      </c>
      <c r="N76" s="46" t="s">
        <v>78</v>
      </c>
      <c r="O76" s="48" t="s">
        <v>79</v>
      </c>
      <c r="P76" s="43" t="s">
        <v>167</v>
      </c>
      <c r="Q76" s="43" t="s">
        <v>1219</v>
      </c>
      <c r="R76" s="1" t="s">
        <v>1151</v>
      </c>
      <c r="S76" s="1" t="s">
        <v>247</v>
      </c>
      <c r="T76" s="2" t="s">
        <v>89</v>
      </c>
    </row>
    <row r="77" spans="1:22" ht="51" x14ac:dyDescent="0.2">
      <c r="A77" s="20" t="s">
        <v>450</v>
      </c>
      <c r="B77" s="1" t="s">
        <v>335</v>
      </c>
      <c r="C77" s="2" t="s">
        <v>336</v>
      </c>
      <c r="D77" s="2" t="s">
        <v>337</v>
      </c>
      <c r="F77" s="2">
        <v>1848</v>
      </c>
      <c r="G77" s="2">
        <v>104</v>
      </c>
      <c r="H77" s="1" t="s">
        <v>74</v>
      </c>
      <c r="I77" s="1" t="s">
        <v>1024</v>
      </c>
      <c r="K77" s="1">
        <v>1846</v>
      </c>
      <c r="L77" s="1" t="s">
        <v>1194</v>
      </c>
      <c r="M77" s="1" t="s">
        <v>77</v>
      </c>
      <c r="N77" s="46" t="s">
        <v>78</v>
      </c>
      <c r="O77" s="48" t="s">
        <v>79</v>
      </c>
      <c r="P77" s="43" t="s">
        <v>167</v>
      </c>
      <c r="Q77" s="43" t="s">
        <v>1219</v>
      </c>
      <c r="R77" s="1" t="s">
        <v>1151</v>
      </c>
      <c r="S77" s="1" t="s">
        <v>247</v>
      </c>
      <c r="T77" s="2" t="s">
        <v>138</v>
      </c>
    </row>
    <row r="78" spans="1:22" ht="102" x14ac:dyDescent="0.2">
      <c r="A78" s="20" t="s">
        <v>451</v>
      </c>
      <c r="B78" s="1" t="s">
        <v>335</v>
      </c>
      <c r="C78" s="2" t="s">
        <v>336</v>
      </c>
      <c r="D78" s="2" t="s">
        <v>337</v>
      </c>
      <c r="F78" s="2">
        <v>1848</v>
      </c>
      <c r="G78" s="2">
        <v>104</v>
      </c>
      <c r="H78" s="1" t="s">
        <v>74</v>
      </c>
      <c r="I78" s="1" t="s">
        <v>1025</v>
      </c>
      <c r="K78" s="1">
        <v>1846</v>
      </c>
      <c r="L78" s="1" t="s">
        <v>1194</v>
      </c>
      <c r="M78" s="1" t="s">
        <v>77</v>
      </c>
      <c r="N78" s="46" t="s">
        <v>78</v>
      </c>
      <c r="O78" s="48" t="s">
        <v>79</v>
      </c>
      <c r="P78" s="43" t="s">
        <v>167</v>
      </c>
      <c r="Q78" s="43" t="s">
        <v>1219</v>
      </c>
      <c r="R78" s="1" t="s">
        <v>1139</v>
      </c>
      <c r="S78" s="1" t="s">
        <v>203</v>
      </c>
      <c r="T78" s="2" t="s">
        <v>90</v>
      </c>
      <c r="U78" s="2" t="s">
        <v>599</v>
      </c>
      <c r="V78" s="2" t="s">
        <v>97</v>
      </c>
    </row>
    <row r="79" spans="1:22" ht="108" customHeight="1" x14ac:dyDescent="0.2">
      <c r="A79" s="20" t="s">
        <v>452</v>
      </c>
      <c r="B79" s="1" t="s">
        <v>335</v>
      </c>
      <c r="C79" s="2" t="s">
        <v>336</v>
      </c>
      <c r="D79" s="2" t="s">
        <v>337</v>
      </c>
      <c r="F79" s="2">
        <v>1848</v>
      </c>
      <c r="G79" s="2">
        <v>104</v>
      </c>
      <c r="H79" s="1" t="s">
        <v>74</v>
      </c>
      <c r="I79" s="1" t="s">
        <v>1026</v>
      </c>
      <c r="K79" s="1">
        <v>1846</v>
      </c>
      <c r="L79" s="1" t="s">
        <v>1194</v>
      </c>
      <c r="M79" s="1" t="s">
        <v>77</v>
      </c>
      <c r="N79" s="46" t="s">
        <v>78</v>
      </c>
      <c r="O79" s="48" t="s">
        <v>79</v>
      </c>
      <c r="P79" s="43" t="s">
        <v>167</v>
      </c>
      <c r="Q79" s="43" t="s">
        <v>1219</v>
      </c>
      <c r="R79" s="1" t="s">
        <v>1139</v>
      </c>
      <c r="S79" s="1" t="s">
        <v>247</v>
      </c>
      <c r="T79" s="2" t="s">
        <v>138</v>
      </c>
    </row>
    <row r="80" spans="1:22" ht="51" x14ac:dyDescent="0.2">
      <c r="A80" s="20" t="s">
        <v>453</v>
      </c>
      <c r="B80" s="1" t="s">
        <v>335</v>
      </c>
      <c r="C80" s="2" t="s">
        <v>336</v>
      </c>
      <c r="D80" s="2" t="s">
        <v>337</v>
      </c>
      <c r="F80" s="2">
        <v>1848</v>
      </c>
      <c r="G80" s="2">
        <v>104</v>
      </c>
      <c r="H80" s="1" t="s">
        <v>74</v>
      </c>
      <c r="I80" s="1" t="s">
        <v>1027</v>
      </c>
      <c r="K80" s="1">
        <v>1846</v>
      </c>
      <c r="L80" s="1" t="s">
        <v>1194</v>
      </c>
      <c r="M80" s="1" t="s">
        <v>77</v>
      </c>
      <c r="N80" s="46" t="s">
        <v>78</v>
      </c>
      <c r="O80" s="48" t="s">
        <v>79</v>
      </c>
      <c r="P80" s="43" t="s">
        <v>167</v>
      </c>
      <c r="Q80" s="43" t="s">
        <v>1219</v>
      </c>
      <c r="R80" s="1" t="s">
        <v>1138</v>
      </c>
      <c r="S80" s="1" t="s">
        <v>203</v>
      </c>
      <c r="T80" s="2" t="s">
        <v>90</v>
      </c>
    </row>
    <row r="81" spans="1:22" ht="68" x14ac:dyDescent="0.2">
      <c r="A81" s="20" t="s">
        <v>454</v>
      </c>
      <c r="B81" s="1" t="s">
        <v>335</v>
      </c>
      <c r="C81" s="2" t="s">
        <v>336</v>
      </c>
      <c r="D81" s="2" t="s">
        <v>337</v>
      </c>
      <c r="F81" s="2">
        <v>1848</v>
      </c>
      <c r="G81" s="2">
        <v>105</v>
      </c>
      <c r="H81" s="1" t="s">
        <v>74</v>
      </c>
      <c r="I81" s="1" t="s">
        <v>1028</v>
      </c>
      <c r="K81" s="1">
        <v>1846</v>
      </c>
      <c r="L81" s="1" t="s">
        <v>1194</v>
      </c>
      <c r="M81" s="1" t="s">
        <v>77</v>
      </c>
      <c r="N81" s="4" t="s">
        <v>78</v>
      </c>
      <c r="O81" s="5" t="s">
        <v>79</v>
      </c>
      <c r="P81" s="1" t="s">
        <v>167</v>
      </c>
      <c r="Q81" s="1" t="s">
        <v>1219</v>
      </c>
      <c r="R81" s="1" t="s">
        <v>1139</v>
      </c>
      <c r="S81" s="1" t="s">
        <v>247</v>
      </c>
      <c r="T81" s="2" t="s">
        <v>138</v>
      </c>
    </row>
    <row r="82" spans="1:22" ht="51" x14ac:dyDescent="0.2">
      <c r="A82" s="20" t="s">
        <v>455</v>
      </c>
      <c r="B82" s="1" t="s">
        <v>335</v>
      </c>
      <c r="C82" s="2" t="s">
        <v>336</v>
      </c>
      <c r="D82" s="2" t="s">
        <v>337</v>
      </c>
      <c r="F82" s="2">
        <v>1848</v>
      </c>
      <c r="G82" s="2">
        <v>106</v>
      </c>
      <c r="H82" s="1" t="s">
        <v>74</v>
      </c>
      <c r="I82" s="1" t="s">
        <v>1029</v>
      </c>
      <c r="K82" s="1">
        <v>1846</v>
      </c>
      <c r="L82" s="1" t="s">
        <v>1194</v>
      </c>
      <c r="M82" s="1" t="s">
        <v>77</v>
      </c>
      <c r="N82" s="4" t="s">
        <v>78</v>
      </c>
      <c r="O82" s="5" t="s">
        <v>79</v>
      </c>
      <c r="P82" s="1" t="s">
        <v>167</v>
      </c>
      <c r="Q82" s="1" t="s">
        <v>1219</v>
      </c>
      <c r="R82" s="1" t="s">
        <v>1142</v>
      </c>
      <c r="S82" s="1" t="s">
        <v>203</v>
      </c>
      <c r="T82" s="2" t="s">
        <v>90</v>
      </c>
    </row>
    <row r="83" spans="1:22" ht="199" customHeight="1" x14ac:dyDescent="0.2">
      <c r="A83" s="20" t="s">
        <v>456</v>
      </c>
      <c r="B83" s="1" t="s">
        <v>335</v>
      </c>
      <c r="C83" s="2" t="s">
        <v>336</v>
      </c>
      <c r="D83" s="2" t="s">
        <v>337</v>
      </c>
      <c r="F83" s="2">
        <v>1848</v>
      </c>
      <c r="G83" s="2">
        <v>108</v>
      </c>
      <c r="H83" s="1" t="s">
        <v>74</v>
      </c>
      <c r="I83" s="1" t="s">
        <v>1030</v>
      </c>
      <c r="K83" s="1">
        <v>1846</v>
      </c>
      <c r="L83" s="1" t="s">
        <v>1194</v>
      </c>
      <c r="M83" s="1" t="s">
        <v>77</v>
      </c>
      <c r="N83" s="4" t="s">
        <v>78</v>
      </c>
      <c r="O83" s="5" t="s">
        <v>79</v>
      </c>
      <c r="P83" s="1" t="s">
        <v>167</v>
      </c>
      <c r="Q83" s="1" t="s">
        <v>1219</v>
      </c>
      <c r="R83" s="1" t="s">
        <v>1151</v>
      </c>
      <c r="S83" s="1" t="s">
        <v>203</v>
      </c>
      <c r="T83" s="2" t="s">
        <v>90</v>
      </c>
    </row>
    <row r="84" spans="1:22" ht="51" x14ac:dyDescent="0.2">
      <c r="A84" s="20" t="s">
        <v>457</v>
      </c>
      <c r="B84" s="1" t="s">
        <v>335</v>
      </c>
      <c r="C84" s="2" t="s">
        <v>336</v>
      </c>
      <c r="D84" s="2" t="s">
        <v>337</v>
      </c>
      <c r="F84" s="2">
        <v>1848</v>
      </c>
      <c r="G84" s="2">
        <v>108</v>
      </c>
      <c r="H84" s="1" t="s">
        <v>74</v>
      </c>
      <c r="I84" s="1" t="s">
        <v>1031</v>
      </c>
      <c r="K84" s="1">
        <v>1846</v>
      </c>
      <c r="L84" s="1" t="s">
        <v>1194</v>
      </c>
      <c r="M84" s="1" t="s">
        <v>343</v>
      </c>
      <c r="P84" s="1" t="s">
        <v>169</v>
      </c>
      <c r="Q84" s="1" t="s">
        <v>169</v>
      </c>
      <c r="R84" s="1" t="s">
        <v>1151</v>
      </c>
      <c r="S84" s="1" t="s">
        <v>3</v>
      </c>
      <c r="T84" s="2" t="s">
        <v>3</v>
      </c>
    </row>
    <row r="85" spans="1:22" ht="102" x14ac:dyDescent="0.2">
      <c r="A85" s="20" t="s">
        <v>458</v>
      </c>
      <c r="B85" s="1" t="s">
        <v>335</v>
      </c>
      <c r="C85" s="2" t="s">
        <v>336</v>
      </c>
      <c r="D85" s="2" t="s">
        <v>337</v>
      </c>
      <c r="F85" s="2">
        <v>1848</v>
      </c>
      <c r="G85" s="2">
        <v>109</v>
      </c>
      <c r="H85" s="1" t="s">
        <v>74</v>
      </c>
      <c r="I85" s="1" t="s">
        <v>1032</v>
      </c>
      <c r="K85" s="1">
        <v>1846</v>
      </c>
      <c r="L85" s="1" t="s">
        <v>1194</v>
      </c>
      <c r="M85" s="1" t="s">
        <v>77</v>
      </c>
      <c r="N85" s="4" t="s">
        <v>78</v>
      </c>
      <c r="O85" s="5" t="s">
        <v>79</v>
      </c>
      <c r="P85" s="1" t="s">
        <v>167</v>
      </c>
      <c r="Q85" s="1" t="s">
        <v>1219</v>
      </c>
      <c r="R85" s="1" t="s">
        <v>1151</v>
      </c>
      <c r="S85" s="1" t="s">
        <v>203</v>
      </c>
      <c r="T85" s="2" t="s">
        <v>90</v>
      </c>
    </row>
    <row r="86" spans="1:22" ht="51" x14ac:dyDescent="0.2">
      <c r="A86" s="20" t="s">
        <v>459</v>
      </c>
      <c r="B86" s="1" t="s">
        <v>335</v>
      </c>
      <c r="C86" s="2" t="s">
        <v>336</v>
      </c>
      <c r="D86" s="2" t="s">
        <v>337</v>
      </c>
      <c r="F86" s="2">
        <v>1848</v>
      </c>
      <c r="G86" s="2">
        <v>109</v>
      </c>
      <c r="H86" s="1" t="s">
        <v>74</v>
      </c>
      <c r="I86" s="1" t="s">
        <v>1033</v>
      </c>
      <c r="K86" s="1">
        <v>1846</v>
      </c>
      <c r="L86" s="1" t="s">
        <v>1194</v>
      </c>
      <c r="M86" s="1" t="s">
        <v>77</v>
      </c>
      <c r="N86" s="4" t="s">
        <v>78</v>
      </c>
      <c r="O86" s="5" t="s">
        <v>79</v>
      </c>
      <c r="P86" s="1" t="s">
        <v>167</v>
      </c>
      <c r="Q86" s="1" t="s">
        <v>1219</v>
      </c>
      <c r="R86" s="1" t="s">
        <v>1151</v>
      </c>
      <c r="S86" s="1" t="s">
        <v>203</v>
      </c>
      <c r="T86" s="2" t="s">
        <v>90</v>
      </c>
    </row>
    <row r="87" spans="1:22" ht="102" x14ac:dyDescent="0.2">
      <c r="A87" s="20" t="s">
        <v>460</v>
      </c>
      <c r="B87" s="1" t="s">
        <v>335</v>
      </c>
      <c r="C87" s="2" t="s">
        <v>336</v>
      </c>
      <c r="D87" s="2" t="s">
        <v>337</v>
      </c>
      <c r="F87" s="2">
        <v>1848</v>
      </c>
      <c r="G87" s="2">
        <v>111</v>
      </c>
      <c r="H87" s="1" t="s">
        <v>74</v>
      </c>
      <c r="I87" s="1" t="s">
        <v>1034</v>
      </c>
      <c r="K87" s="1">
        <v>1846</v>
      </c>
      <c r="L87" s="1" t="s">
        <v>1194</v>
      </c>
      <c r="M87" s="1" t="s">
        <v>77</v>
      </c>
      <c r="N87" s="4" t="s">
        <v>78</v>
      </c>
      <c r="O87" s="5" t="s">
        <v>79</v>
      </c>
      <c r="P87" s="1" t="s">
        <v>167</v>
      </c>
      <c r="Q87" s="1" t="s">
        <v>1219</v>
      </c>
      <c r="R87" s="1" t="s">
        <v>1151</v>
      </c>
      <c r="S87" s="1" t="s">
        <v>203</v>
      </c>
      <c r="T87" s="2" t="s">
        <v>90</v>
      </c>
    </row>
    <row r="88" spans="1:22" ht="51" x14ac:dyDescent="0.2">
      <c r="A88" s="20" t="s">
        <v>461</v>
      </c>
      <c r="B88" s="1" t="s">
        <v>335</v>
      </c>
      <c r="C88" s="2" t="s">
        <v>336</v>
      </c>
      <c r="D88" s="2" t="s">
        <v>337</v>
      </c>
      <c r="F88" s="2">
        <v>1848</v>
      </c>
      <c r="G88" s="2">
        <v>112</v>
      </c>
      <c r="H88" s="1" t="s">
        <v>74</v>
      </c>
      <c r="I88" s="1" t="s">
        <v>1035</v>
      </c>
      <c r="K88" s="1">
        <v>1846</v>
      </c>
      <c r="L88" s="1" t="s">
        <v>1194</v>
      </c>
      <c r="M88" s="1" t="s">
        <v>344</v>
      </c>
      <c r="P88" s="1" t="s">
        <v>169</v>
      </c>
      <c r="Q88" s="1" t="s">
        <v>169</v>
      </c>
      <c r="R88" s="1" t="s">
        <v>1135</v>
      </c>
      <c r="S88" s="1" t="s">
        <v>3</v>
      </c>
      <c r="T88" s="2" t="s">
        <v>3</v>
      </c>
    </row>
    <row r="89" spans="1:22" ht="51" x14ac:dyDescent="0.2">
      <c r="A89" s="20" t="s">
        <v>462</v>
      </c>
      <c r="B89" s="1" t="s">
        <v>335</v>
      </c>
      <c r="C89" s="2" t="s">
        <v>336</v>
      </c>
      <c r="D89" s="2" t="s">
        <v>337</v>
      </c>
      <c r="F89" s="2">
        <v>1848</v>
      </c>
      <c r="G89" s="2">
        <v>113</v>
      </c>
      <c r="H89" s="1" t="s">
        <v>74</v>
      </c>
      <c r="I89" s="1" t="s">
        <v>1036</v>
      </c>
      <c r="K89" s="1">
        <v>1846</v>
      </c>
      <c r="L89" s="1" t="s">
        <v>1194</v>
      </c>
      <c r="M89" s="1" t="s">
        <v>344</v>
      </c>
      <c r="P89" s="1" t="s">
        <v>169</v>
      </c>
      <c r="Q89" s="1" t="s">
        <v>169</v>
      </c>
      <c r="R89" s="1" t="s">
        <v>1139</v>
      </c>
      <c r="S89" s="1" t="s">
        <v>3</v>
      </c>
      <c r="T89" s="2" t="s">
        <v>3</v>
      </c>
    </row>
    <row r="90" spans="1:22" ht="51" x14ac:dyDescent="0.2">
      <c r="A90" s="20" t="s">
        <v>463</v>
      </c>
      <c r="B90" s="1" t="s">
        <v>335</v>
      </c>
      <c r="C90" s="2" t="s">
        <v>336</v>
      </c>
      <c r="D90" s="2" t="s">
        <v>337</v>
      </c>
      <c r="F90" s="2">
        <v>1848</v>
      </c>
      <c r="G90" s="2">
        <v>113</v>
      </c>
      <c r="H90" s="1" t="s">
        <v>74</v>
      </c>
      <c r="I90" s="1" t="s">
        <v>1037</v>
      </c>
      <c r="J90" s="1" t="s">
        <v>363</v>
      </c>
      <c r="K90" s="1">
        <v>1846</v>
      </c>
      <c r="L90" s="1" t="s">
        <v>1194</v>
      </c>
      <c r="M90" s="1" t="s">
        <v>160</v>
      </c>
      <c r="N90" s="4" t="s">
        <v>181</v>
      </c>
      <c r="O90" s="5" t="s">
        <v>182</v>
      </c>
      <c r="P90" s="1" t="s">
        <v>167</v>
      </c>
      <c r="Q90" s="1" t="s">
        <v>1219</v>
      </c>
      <c r="R90" s="1" t="s">
        <v>1142</v>
      </c>
      <c r="S90" s="1" t="s">
        <v>3</v>
      </c>
      <c r="T90" s="2" t="s">
        <v>3</v>
      </c>
    </row>
    <row r="91" spans="1:22" ht="85" x14ac:dyDescent="0.2">
      <c r="A91" s="20" t="s">
        <v>464</v>
      </c>
      <c r="B91" s="1" t="s">
        <v>318</v>
      </c>
      <c r="C91" s="6" t="s">
        <v>263</v>
      </c>
      <c r="D91" s="2" t="s">
        <v>263</v>
      </c>
      <c r="E91" s="2" t="s">
        <v>145</v>
      </c>
      <c r="F91" s="2">
        <v>1911</v>
      </c>
      <c r="G91" s="2">
        <v>5</v>
      </c>
      <c r="H91" s="1" t="s">
        <v>74</v>
      </c>
      <c r="I91" s="1" t="s">
        <v>962</v>
      </c>
      <c r="K91" s="1">
        <v>1859</v>
      </c>
      <c r="L91" s="1" t="s">
        <v>1189</v>
      </c>
      <c r="M91" s="1" t="s">
        <v>63</v>
      </c>
      <c r="N91" s="4" t="s">
        <v>64</v>
      </c>
      <c r="O91" s="5" t="s">
        <v>65</v>
      </c>
      <c r="P91" s="1" t="s">
        <v>167</v>
      </c>
      <c r="Q91" s="1" t="s">
        <v>1218</v>
      </c>
      <c r="R91" s="1" t="s">
        <v>1131</v>
      </c>
      <c r="S91" s="2" t="s">
        <v>66</v>
      </c>
      <c r="T91" s="2" t="s">
        <v>66</v>
      </c>
    </row>
    <row r="92" spans="1:22" ht="51" x14ac:dyDescent="0.2">
      <c r="A92" s="20" t="s">
        <v>465</v>
      </c>
      <c r="B92" s="1" t="s">
        <v>354</v>
      </c>
      <c r="C92" s="2" t="s">
        <v>263</v>
      </c>
      <c r="D92" s="2" t="s">
        <v>263</v>
      </c>
      <c r="F92" s="2">
        <v>1891</v>
      </c>
      <c r="G92" s="2">
        <v>22</v>
      </c>
      <c r="H92" s="1" t="s">
        <v>74</v>
      </c>
      <c r="I92" s="1" t="s">
        <v>355</v>
      </c>
      <c r="K92" s="1">
        <v>1891</v>
      </c>
      <c r="L92" s="1" t="s">
        <v>1191</v>
      </c>
      <c r="M92" s="1" t="s">
        <v>121</v>
      </c>
      <c r="N92" s="4" t="s">
        <v>122</v>
      </c>
      <c r="O92" s="5" t="s">
        <v>123</v>
      </c>
      <c r="P92" s="1" t="s">
        <v>167</v>
      </c>
      <c r="Q92" s="1" t="s">
        <v>220</v>
      </c>
      <c r="R92" s="1" t="s">
        <v>1135</v>
      </c>
      <c r="S92" s="1" t="s">
        <v>203</v>
      </c>
      <c r="T92" s="2" t="s">
        <v>37</v>
      </c>
    </row>
    <row r="93" spans="1:22" ht="204" x14ac:dyDescent="0.2">
      <c r="A93" s="20" t="s">
        <v>466</v>
      </c>
      <c r="B93" s="6" t="s">
        <v>370</v>
      </c>
      <c r="C93" s="6" t="s">
        <v>371</v>
      </c>
      <c r="D93" s="6" t="s">
        <v>372</v>
      </c>
      <c r="E93" s="6"/>
      <c r="F93" s="6">
        <v>1996</v>
      </c>
      <c r="G93" s="6">
        <v>32</v>
      </c>
      <c r="H93" s="7" t="s">
        <v>368</v>
      </c>
      <c r="I93" s="7" t="s">
        <v>1143</v>
      </c>
      <c r="J93" s="7"/>
      <c r="K93" s="7" t="s">
        <v>373</v>
      </c>
      <c r="L93" s="7" t="s">
        <v>1190</v>
      </c>
      <c r="M93" s="7" t="s">
        <v>374</v>
      </c>
      <c r="N93" s="7"/>
      <c r="O93" s="16"/>
      <c r="P93" s="1" t="s">
        <v>169</v>
      </c>
      <c r="Q93" s="1" t="s">
        <v>169</v>
      </c>
      <c r="R93" s="1" t="s">
        <v>1131</v>
      </c>
      <c r="S93" s="7" t="s">
        <v>66</v>
      </c>
      <c r="T93" s="6" t="s">
        <v>66</v>
      </c>
      <c r="U93" s="6"/>
      <c r="V93" s="6"/>
    </row>
    <row r="94" spans="1:22" ht="51" x14ac:dyDescent="0.2">
      <c r="A94" s="20" t="s">
        <v>467</v>
      </c>
      <c r="B94" s="6" t="s">
        <v>370</v>
      </c>
      <c r="C94" s="6" t="s">
        <v>371</v>
      </c>
      <c r="D94" s="6" t="s">
        <v>372</v>
      </c>
      <c r="E94" s="6"/>
      <c r="F94" s="6">
        <v>1996</v>
      </c>
      <c r="G94" s="6">
        <v>33</v>
      </c>
      <c r="H94" s="7" t="s">
        <v>368</v>
      </c>
      <c r="I94" s="7" t="s">
        <v>1038</v>
      </c>
      <c r="J94" s="7"/>
      <c r="K94" s="1" t="s">
        <v>581</v>
      </c>
      <c r="L94" s="1" t="s">
        <v>1197</v>
      </c>
      <c r="M94" s="7" t="s">
        <v>54</v>
      </c>
      <c r="N94" s="4" t="s">
        <v>55</v>
      </c>
      <c r="O94" s="5" t="s">
        <v>56</v>
      </c>
      <c r="P94" s="1" t="s">
        <v>167</v>
      </c>
      <c r="Q94" s="1" t="s">
        <v>1219</v>
      </c>
      <c r="R94" s="1" t="s">
        <v>1131</v>
      </c>
      <c r="S94" s="7" t="s">
        <v>66</v>
      </c>
      <c r="T94" s="6" t="s">
        <v>66</v>
      </c>
      <c r="U94" s="6"/>
      <c r="V94" s="6"/>
    </row>
    <row r="95" spans="1:22" ht="68" x14ac:dyDescent="0.2">
      <c r="A95" s="20" t="s">
        <v>468</v>
      </c>
      <c r="B95" s="2" t="s">
        <v>295</v>
      </c>
      <c r="C95" s="2" t="s">
        <v>276</v>
      </c>
      <c r="D95" s="2" t="s">
        <v>290</v>
      </c>
      <c r="F95" s="2">
        <v>1897</v>
      </c>
      <c r="G95" s="2" t="s">
        <v>300</v>
      </c>
      <c r="H95" s="1" t="s">
        <v>74</v>
      </c>
      <c r="I95" s="1" t="s">
        <v>1039</v>
      </c>
      <c r="K95" s="1" t="s">
        <v>296</v>
      </c>
      <c r="L95" s="1" t="s">
        <v>1191</v>
      </c>
      <c r="M95" s="1" t="s">
        <v>54</v>
      </c>
      <c r="N95" s="4" t="s">
        <v>55</v>
      </c>
      <c r="O95" s="5" t="s">
        <v>56</v>
      </c>
      <c r="P95" s="1" t="s">
        <v>167</v>
      </c>
      <c r="Q95" s="1" t="s">
        <v>220</v>
      </c>
      <c r="R95" s="1" t="s">
        <v>1151</v>
      </c>
      <c r="S95" s="1" t="s">
        <v>203</v>
      </c>
      <c r="T95" s="2" t="s">
        <v>90</v>
      </c>
    </row>
    <row r="96" spans="1:22" ht="1" customHeight="1" x14ac:dyDescent="0.2">
      <c r="A96" s="20" t="s">
        <v>469</v>
      </c>
      <c r="B96" s="2" t="s">
        <v>295</v>
      </c>
      <c r="C96" s="2" t="s">
        <v>276</v>
      </c>
      <c r="D96" s="2" t="s">
        <v>290</v>
      </c>
      <c r="F96" s="2">
        <v>1897</v>
      </c>
      <c r="G96" s="2" t="s">
        <v>303</v>
      </c>
      <c r="H96" s="1" t="s">
        <v>74</v>
      </c>
      <c r="I96" s="1" t="s">
        <v>1040</v>
      </c>
      <c r="K96" s="1" t="s">
        <v>296</v>
      </c>
      <c r="L96" s="1" t="s">
        <v>1191</v>
      </c>
      <c r="M96" s="1" t="s">
        <v>54</v>
      </c>
      <c r="N96" s="4" t="s">
        <v>55</v>
      </c>
      <c r="O96" s="5" t="s">
        <v>56</v>
      </c>
      <c r="P96" s="1" t="s">
        <v>167</v>
      </c>
      <c r="Q96" s="1" t="s">
        <v>1219</v>
      </c>
      <c r="R96" s="1" t="s">
        <v>1151</v>
      </c>
      <c r="S96" s="1" t="s">
        <v>203</v>
      </c>
      <c r="T96" s="2" t="s">
        <v>90</v>
      </c>
    </row>
    <row r="97" spans="1:22" ht="68" x14ac:dyDescent="0.2">
      <c r="A97" s="20" t="s">
        <v>470</v>
      </c>
      <c r="B97" s="2" t="s">
        <v>295</v>
      </c>
      <c r="C97" s="2" t="s">
        <v>276</v>
      </c>
      <c r="D97" s="2" t="s">
        <v>290</v>
      </c>
      <c r="F97" s="2">
        <v>1897</v>
      </c>
      <c r="G97" s="2">
        <v>293</v>
      </c>
      <c r="H97" s="1" t="s">
        <v>74</v>
      </c>
      <c r="I97" s="1" t="s">
        <v>1041</v>
      </c>
      <c r="J97" s="1" t="s">
        <v>297</v>
      </c>
      <c r="K97" s="1" t="s">
        <v>296</v>
      </c>
      <c r="L97" s="1" t="s">
        <v>1191</v>
      </c>
      <c r="M97" s="1" t="s">
        <v>161</v>
      </c>
      <c r="N97" s="4" t="s">
        <v>183</v>
      </c>
      <c r="O97" s="5" t="s">
        <v>184</v>
      </c>
      <c r="P97" s="1" t="s">
        <v>167</v>
      </c>
      <c r="Q97" s="1" t="s">
        <v>1219</v>
      </c>
      <c r="R97" s="1" t="s">
        <v>1151</v>
      </c>
      <c r="S97" s="1" t="s">
        <v>203</v>
      </c>
      <c r="T97" s="2" t="s">
        <v>90</v>
      </c>
    </row>
    <row r="98" spans="1:22" ht="87" customHeight="1" x14ac:dyDescent="0.2">
      <c r="A98" s="20" t="s">
        <v>471</v>
      </c>
      <c r="B98" s="2" t="s">
        <v>295</v>
      </c>
      <c r="C98" s="2" t="s">
        <v>276</v>
      </c>
      <c r="D98" s="2" t="s">
        <v>290</v>
      </c>
      <c r="F98" s="2">
        <v>1897</v>
      </c>
      <c r="G98" s="2">
        <v>293</v>
      </c>
      <c r="H98" s="1" t="s">
        <v>74</v>
      </c>
      <c r="I98" s="1" t="s">
        <v>1041</v>
      </c>
      <c r="J98" s="1" t="s">
        <v>297</v>
      </c>
      <c r="K98" s="1" t="s">
        <v>296</v>
      </c>
      <c r="L98" s="1" t="s">
        <v>1191</v>
      </c>
      <c r="M98" s="1" t="s">
        <v>298</v>
      </c>
      <c r="N98" s="4" t="s">
        <v>324</v>
      </c>
      <c r="O98" s="5" t="s">
        <v>323</v>
      </c>
      <c r="P98" s="1" t="s">
        <v>167</v>
      </c>
      <c r="Q98" s="1" t="s">
        <v>1219</v>
      </c>
      <c r="R98" s="1" t="s">
        <v>1151</v>
      </c>
      <c r="S98" s="1" t="s">
        <v>203</v>
      </c>
      <c r="T98" s="2" t="s">
        <v>90</v>
      </c>
    </row>
    <row r="99" spans="1:22" ht="68" x14ac:dyDescent="0.2">
      <c r="A99" s="20" t="s">
        <v>472</v>
      </c>
      <c r="B99" s="2" t="s">
        <v>295</v>
      </c>
      <c r="C99" s="2" t="s">
        <v>276</v>
      </c>
      <c r="D99" s="2" t="s">
        <v>290</v>
      </c>
      <c r="F99" s="2">
        <v>1897</v>
      </c>
      <c r="G99" s="2">
        <v>293</v>
      </c>
      <c r="H99" s="1" t="s">
        <v>74</v>
      </c>
      <c r="I99" s="1" t="s">
        <v>1041</v>
      </c>
      <c r="J99" s="1" t="s">
        <v>299</v>
      </c>
      <c r="K99" s="1" t="s">
        <v>296</v>
      </c>
      <c r="L99" s="1" t="s">
        <v>1191</v>
      </c>
      <c r="M99" s="1" t="s">
        <v>160</v>
      </c>
      <c r="N99" s="4" t="s">
        <v>181</v>
      </c>
      <c r="O99" s="5" t="s">
        <v>182</v>
      </c>
      <c r="P99" s="1" t="s">
        <v>167</v>
      </c>
      <c r="Q99" s="1" t="s">
        <v>1219</v>
      </c>
      <c r="R99" s="1" t="s">
        <v>1151</v>
      </c>
      <c r="S99" s="1" t="s">
        <v>203</v>
      </c>
      <c r="T99" s="2" t="s">
        <v>90</v>
      </c>
    </row>
    <row r="100" spans="1:22" ht="102" x14ac:dyDescent="0.2">
      <c r="A100" s="20" t="s">
        <v>473</v>
      </c>
      <c r="B100" s="2" t="s">
        <v>295</v>
      </c>
      <c r="C100" s="2" t="s">
        <v>276</v>
      </c>
      <c r="D100" s="2" t="s">
        <v>290</v>
      </c>
      <c r="F100" s="2">
        <v>1897</v>
      </c>
      <c r="G100" s="2">
        <v>293</v>
      </c>
      <c r="H100" s="1" t="s">
        <v>74</v>
      </c>
      <c r="I100" s="1" t="s">
        <v>1042</v>
      </c>
      <c r="J100" s="1" t="s">
        <v>297</v>
      </c>
      <c r="K100" s="1" t="s">
        <v>296</v>
      </c>
      <c r="L100" s="1" t="s">
        <v>1191</v>
      </c>
      <c r="M100" s="1" t="s">
        <v>52</v>
      </c>
      <c r="N100" s="4" t="s">
        <v>327</v>
      </c>
      <c r="O100" s="5" t="s">
        <v>328</v>
      </c>
      <c r="P100" s="1" t="s">
        <v>167</v>
      </c>
      <c r="Q100" s="1" t="s">
        <v>1219</v>
      </c>
      <c r="R100" s="1" t="s">
        <v>1151</v>
      </c>
      <c r="S100" s="1" t="s">
        <v>203</v>
      </c>
      <c r="T100" s="2" t="s">
        <v>90</v>
      </c>
    </row>
    <row r="101" spans="1:22" ht="68" x14ac:dyDescent="0.2">
      <c r="A101" s="20" t="s">
        <v>474</v>
      </c>
      <c r="B101" s="2" t="s">
        <v>295</v>
      </c>
      <c r="C101" s="2" t="s">
        <v>276</v>
      </c>
      <c r="D101" s="2" t="s">
        <v>290</v>
      </c>
      <c r="F101" s="2">
        <v>1897</v>
      </c>
      <c r="G101" s="2" t="s">
        <v>300</v>
      </c>
      <c r="H101" s="1" t="s">
        <v>74</v>
      </c>
      <c r="I101" s="1" t="s">
        <v>997</v>
      </c>
      <c r="K101" s="1" t="s">
        <v>296</v>
      </c>
      <c r="L101" s="1" t="s">
        <v>1191</v>
      </c>
      <c r="M101" s="1" t="s">
        <v>52</v>
      </c>
      <c r="N101" s="4" t="s">
        <v>327</v>
      </c>
      <c r="O101" s="5" t="s">
        <v>328</v>
      </c>
      <c r="P101" s="1" t="s">
        <v>167</v>
      </c>
      <c r="Q101" s="1" t="s">
        <v>1219</v>
      </c>
      <c r="R101" s="1" t="s">
        <v>1151</v>
      </c>
      <c r="S101" s="1" t="s">
        <v>203</v>
      </c>
      <c r="T101" s="2" t="s">
        <v>90</v>
      </c>
    </row>
    <row r="102" spans="1:22" ht="204" x14ac:dyDescent="0.2">
      <c r="A102" s="20" t="s">
        <v>475</v>
      </c>
      <c r="B102" s="2" t="s">
        <v>295</v>
      </c>
      <c r="C102" s="2" t="s">
        <v>276</v>
      </c>
      <c r="D102" s="2" t="s">
        <v>290</v>
      </c>
      <c r="F102" s="2">
        <v>1897</v>
      </c>
      <c r="G102" s="2" t="s">
        <v>301</v>
      </c>
      <c r="H102" s="1" t="s">
        <v>74</v>
      </c>
      <c r="I102" s="1" t="s">
        <v>1043</v>
      </c>
      <c r="K102" s="1" t="s">
        <v>296</v>
      </c>
      <c r="L102" s="1" t="s">
        <v>1191</v>
      </c>
      <c r="M102" s="1" t="s">
        <v>52</v>
      </c>
      <c r="N102" s="4" t="s">
        <v>327</v>
      </c>
      <c r="O102" s="5" t="s">
        <v>328</v>
      </c>
      <c r="P102" s="1" t="s">
        <v>167</v>
      </c>
      <c r="Q102" s="1" t="s">
        <v>1219</v>
      </c>
      <c r="R102" s="1" t="s">
        <v>1151</v>
      </c>
      <c r="S102" s="1" t="s">
        <v>203</v>
      </c>
      <c r="T102" s="2" t="s">
        <v>90</v>
      </c>
    </row>
    <row r="103" spans="1:22" ht="153" x14ac:dyDescent="0.2">
      <c r="A103" s="20" t="s">
        <v>476</v>
      </c>
      <c r="B103" s="2" t="s">
        <v>295</v>
      </c>
      <c r="C103" s="2" t="s">
        <v>276</v>
      </c>
      <c r="D103" s="2" t="s">
        <v>290</v>
      </c>
      <c r="F103" s="2">
        <v>1897</v>
      </c>
      <c r="G103" s="2">
        <v>296</v>
      </c>
      <c r="H103" s="1" t="s">
        <v>74</v>
      </c>
      <c r="I103" s="1" t="s">
        <v>1044</v>
      </c>
      <c r="J103" s="1" t="s">
        <v>333</v>
      </c>
      <c r="K103" s="1" t="s">
        <v>296</v>
      </c>
      <c r="L103" s="1" t="s">
        <v>1191</v>
      </c>
      <c r="M103" s="1" t="s">
        <v>52</v>
      </c>
      <c r="N103" s="4" t="s">
        <v>327</v>
      </c>
      <c r="O103" s="5" t="s">
        <v>328</v>
      </c>
      <c r="P103" s="1" t="s">
        <v>167</v>
      </c>
      <c r="Q103" s="1" t="s">
        <v>1219</v>
      </c>
      <c r="R103" s="1" t="s">
        <v>1151</v>
      </c>
      <c r="S103" s="1" t="s">
        <v>203</v>
      </c>
      <c r="T103" s="2" t="s">
        <v>90</v>
      </c>
    </row>
    <row r="104" spans="1:22" ht="204" x14ac:dyDescent="0.2">
      <c r="A104" s="20" t="s">
        <v>1258</v>
      </c>
      <c r="B104" s="2" t="s">
        <v>295</v>
      </c>
      <c r="C104" s="2" t="s">
        <v>276</v>
      </c>
      <c r="D104" s="2" t="s">
        <v>290</v>
      </c>
      <c r="F104" s="2">
        <v>1897</v>
      </c>
      <c r="G104" s="2" t="s">
        <v>301</v>
      </c>
      <c r="H104" s="1" t="s">
        <v>74</v>
      </c>
      <c r="I104" s="1" t="s">
        <v>1043</v>
      </c>
      <c r="K104" s="1" t="s">
        <v>296</v>
      </c>
      <c r="L104" s="1" t="s">
        <v>1191</v>
      </c>
      <c r="M104" s="1" t="s">
        <v>1270</v>
      </c>
      <c r="N104" s="4" t="s">
        <v>332</v>
      </c>
      <c r="O104" s="5" t="s">
        <v>331</v>
      </c>
      <c r="P104" s="1" t="s">
        <v>167</v>
      </c>
      <c r="Q104" s="1" t="s">
        <v>1219</v>
      </c>
      <c r="R104" s="1" t="s">
        <v>1151</v>
      </c>
      <c r="S104" s="1" t="s">
        <v>203</v>
      </c>
      <c r="T104" s="2" t="s">
        <v>90</v>
      </c>
    </row>
    <row r="105" spans="1:22" ht="153" x14ac:dyDescent="0.2">
      <c r="A105" s="20" t="s">
        <v>1259</v>
      </c>
      <c r="B105" s="2" t="s">
        <v>319</v>
      </c>
      <c r="C105" s="6" t="s">
        <v>263</v>
      </c>
      <c r="D105" s="2" t="s">
        <v>263</v>
      </c>
      <c r="E105" s="2" t="s">
        <v>952</v>
      </c>
      <c r="F105" s="2">
        <v>1950</v>
      </c>
      <c r="G105" s="2">
        <v>3</v>
      </c>
      <c r="H105" s="1" t="s">
        <v>74</v>
      </c>
      <c r="I105" s="1" t="s">
        <v>959</v>
      </c>
      <c r="K105" s="1">
        <v>1859</v>
      </c>
      <c r="L105" s="1" t="s">
        <v>1189</v>
      </c>
      <c r="M105" s="1" t="s">
        <v>63</v>
      </c>
      <c r="N105" s="4" t="s">
        <v>64</v>
      </c>
      <c r="O105" s="5" t="s">
        <v>65</v>
      </c>
      <c r="P105" s="1" t="s">
        <v>167</v>
      </c>
      <c r="Q105" s="1" t="s">
        <v>1218</v>
      </c>
      <c r="R105" s="1" t="s">
        <v>1131</v>
      </c>
      <c r="S105" s="2" t="s">
        <v>66</v>
      </c>
      <c r="T105" s="2" t="s">
        <v>66</v>
      </c>
    </row>
    <row r="106" spans="1:22" ht="34" x14ac:dyDescent="0.2">
      <c r="A106" s="20" t="s">
        <v>477</v>
      </c>
      <c r="B106" s="6" t="s">
        <v>7</v>
      </c>
      <c r="C106" s="6" t="s">
        <v>280</v>
      </c>
      <c r="D106" s="6" t="s">
        <v>281</v>
      </c>
      <c r="E106" s="6"/>
      <c r="F106" s="6">
        <v>1898</v>
      </c>
      <c r="G106" s="6">
        <v>3</v>
      </c>
      <c r="H106" s="1" t="s">
        <v>74</v>
      </c>
      <c r="I106" s="1" t="s">
        <v>1045</v>
      </c>
      <c r="K106" s="1" t="s">
        <v>262</v>
      </c>
      <c r="L106" s="1" t="s">
        <v>1256</v>
      </c>
      <c r="M106" s="1" t="s">
        <v>28</v>
      </c>
      <c r="P106" s="1" t="s">
        <v>169</v>
      </c>
      <c r="Q106" s="1" t="s">
        <v>169</v>
      </c>
      <c r="R106" s="1" t="s">
        <v>1151</v>
      </c>
      <c r="S106" s="1" t="s">
        <v>0</v>
      </c>
      <c r="T106" s="2" t="s">
        <v>205</v>
      </c>
    </row>
    <row r="107" spans="1:22" ht="51" x14ac:dyDescent="0.2">
      <c r="A107" s="20" t="s">
        <v>478</v>
      </c>
      <c r="B107" s="2" t="s">
        <v>91</v>
      </c>
      <c r="C107" s="2" t="s">
        <v>334</v>
      </c>
      <c r="D107" s="2" t="s">
        <v>291</v>
      </c>
      <c r="F107" s="2">
        <v>1979</v>
      </c>
      <c r="G107" s="2">
        <v>190</v>
      </c>
      <c r="H107" s="1" t="s">
        <v>74</v>
      </c>
      <c r="I107" s="1" t="s">
        <v>103</v>
      </c>
      <c r="K107" s="1" t="s">
        <v>583</v>
      </c>
      <c r="L107" s="1" t="s">
        <v>1256</v>
      </c>
      <c r="M107" s="1" t="s">
        <v>104</v>
      </c>
      <c r="N107" s="4" t="s">
        <v>187</v>
      </c>
      <c r="O107" s="5" t="s">
        <v>188</v>
      </c>
      <c r="P107" s="1" t="s">
        <v>167</v>
      </c>
      <c r="Q107" s="1" t="s">
        <v>1219</v>
      </c>
      <c r="R107" s="1" t="s">
        <v>1151</v>
      </c>
      <c r="S107" s="2" t="s">
        <v>247</v>
      </c>
      <c r="T107" s="2" t="s">
        <v>97</v>
      </c>
    </row>
    <row r="108" spans="1:22" ht="68" x14ac:dyDescent="0.2">
      <c r="A108" s="20" t="s">
        <v>479</v>
      </c>
      <c r="B108" s="2" t="s">
        <v>91</v>
      </c>
      <c r="C108" s="2" t="s">
        <v>334</v>
      </c>
      <c r="D108" s="2" t="s">
        <v>291</v>
      </c>
      <c r="F108" s="2">
        <v>1979</v>
      </c>
      <c r="G108" s="2">
        <v>107</v>
      </c>
      <c r="H108" s="1" t="s">
        <v>74</v>
      </c>
      <c r="I108" s="1" t="s">
        <v>1046</v>
      </c>
      <c r="K108" s="1" t="s">
        <v>581</v>
      </c>
      <c r="L108" s="1" t="s">
        <v>1197</v>
      </c>
      <c r="M108" s="1" t="s">
        <v>104</v>
      </c>
      <c r="N108" s="4" t="s">
        <v>187</v>
      </c>
      <c r="O108" s="5" t="s">
        <v>188</v>
      </c>
      <c r="P108" s="1" t="s">
        <v>167</v>
      </c>
      <c r="Q108" s="1" t="s">
        <v>1219</v>
      </c>
      <c r="R108" s="1" t="s">
        <v>1131</v>
      </c>
      <c r="S108" s="2" t="s">
        <v>66</v>
      </c>
      <c r="T108" s="2" t="s">
        <v>66</v>
      </c>
    </row>
    <row r="109" spans="1:22" ht="68" x14ac:dyDescent="0.2">
      <c r="A109" s="20" t="s">
        <v>480</v>
      </c>
      <c r="B109" s="2" t="s">
        <v>91</v>
      </c>
      <c r="C109" s="2" t="s">
        <v>334</v>
      </c>
      <c r="D109" s="2" t="s">
        <v>291</v>
      </c>
      <c r="F109" s="2">
        <v>1979</v>
      </c>
      <c r="G109" s="2">
        <v>107</v>
      </c>
      <c r="H109" s="1" t="s">
        <v>74</v>
      </c>
      <c r="I109" s="1" t="s">
        <v>267</v>
      </c>
      <c r="K109" s="1" t="s">
        <v>581</v>
      </c>
      <c r="L109" s="1" t="s">
        <v>1197</v>
      </c>
      <c r="M109" s="1" t="s">
        <v>161</v>
      </c>
      <c r="N109" s="4" t="s">
        <v>183</v>
      </c>
      <c r="O109" s="5" t="s">
        <v>184</v>
      </c>
      <c r="P109" s="1" t="s">
        <v>167</v>
      </c>
      <c r="Q109" s="1" t="s">
        <v>1219</v>
      </c>
      <c r="R109" s="1" t="s">
        <v>1131</v>
      </c>
      <c r="S109" s="1" t="s">
        <v>203</v>
      </c>
      <c r="T109" s="2" t="s">
        <v>90</v>
      </c>
    </row>
    <row r="110" spans="1:22" ht="51" x14ac:dyDescent="0.2">
      <c r="A110" s="20" t="s">
        <v>481</v>
      </c>
      <c r="B110" s="2" t="s">
        <v>91</v>
      </c>
      <c r="C110" s="2" t="s">
        <v>334</v>
      </c>
      <c r="D110" s="2" t="s">
        <v>291</v>
      </c>
      <c r="F110" s="2">
        <v>1979</v>
      </c>
      <c r="G110" s="2">
        <v>107</v>
      </c>
      <c r="H110" s="1" t="s">
        <v>74</v>
      </c>
      <c r="I110" s="1" t="s">
        <v>1047</v>
      </c>
      <c r="K110" s="1" t="s">
        <v>581</v>
      </c>
      <c r="L110" s="1" t="s">
        <v>1197</v>
      </c>
      <c r="M110" s="1" t="s">
        <v>36</v>
      </c>
      <c r="N110" s="4" t="s">
        <v>12</v>
      </c>
      <c r="O110" s="5">
        <v>146.85613215622399</v>
      </c>
      <c r="P110" s="1" t="s">
        <v>167</v>
      </c>
      <c r="Q110" s="1" t="s">
        <v>1219</v>
      </c>
      <c r="R110" s="1" t="s">
        <v>1131</v>
      </c>
      <c r="S110" s="2" t="s">
        <v>66</v>
      </c>
      <c r="T110" s="2" t="s">
        <v>66</v>
      </c>
    </row>
    <row r="111" spans="1:22" ht="51" x14ac:dyDescent="0.2">
      <c r="A111" s="20" t="s">
        <v>482</v>
      </c>
      <c r="B111" s="2" t="s">
        <v>91</v>
      </c>
      <c r="C111" s="2" t="s">
        <v>334</v>
      </c>
      <c r="D111" s="2" t="s">
        <v>291</v>
      </c>
      <c r="F111" s="2">
        <v>1979</v>
      </c>
      <c r="G111" s="2">
        <v>162</v>
      </c>
      <c r="H111" s="1" t="s">
        <v>74</v>
      </c>
      <c r="I111" s="1" t="s">
        <v>1048</v>
      </c>
      <c r="K111" s="1" t="s">
        <v>583</v>
      </c>
      <c r="L111" s="1" t="s">
        <v>1256</v>
      </c>
      <c r="M111" s="1" t="s">
        <v>36</v>
      </c>
      <c r="N111" s="4" t="s">
        <v>12</v>
      </c>
      <c r="O111" s="5">
        <v>146.85613215622399</v>
      </c>
      <c r="P111" s="1" t="s">
        <v>167</v>
      </c>
      <c r="Q111" s="1" t="s">
        <v>1219</v>
      </c>
      <c r="R111" s="1" t="s">
        <v>1151</v>
      </c>
      <c r="S111" s="2" t="s">
        <v>247</v>
      </c>
      <c r="T111" s="2" t="s">
        <v>137</v>
      </c>
      <c r="U111" s="2" t="s">
        <v>136</v>
      </c>
      <c r="V111" s="2" t="s">
        <v>95</v>
      </c>
    </row>
    <row r="112" spans="1:22" ht="51" x14ac:dyDescent="0.2">
      <c r="A112" s="20" t="s">
        <v>483</v>
      </c>
      <c r="B112" s="2" t="s">
        <v>91</v>
      </c>
      <c r="C112" s="2" t="s">
        <v>334</v>
      </c>
      <c r="D112" s="2" t="s">
        <v>291</v>
      </c>
      <c r="F112" s="2">
        <v>1979</v>
      </c>
      <c r="G112" s="2">
        <v>165</v>
      </c>
      <c r="H112" s="1" t="s">
        <v>74</v>
      </c>
      <c r="I112" s="1" t="s">
        <v>1049</v>
      </c>
      <c r="J112" s="1" t="s">
        <v>595</v>
      </c>
      <c r="K112" s="1" t="s">
        <v>583</v>
      </c>
      <c r="L112" s="1" t="s">
        <v>1256</v>
      </c>
      <c r="M112" s="1" t="s">
        <v>96</v>
      </c>
      <c r="N112" s="4" t="s">
        <v>1255</v>
      </c>
      <c r="O112" s="5">
        <v>147.3871</v>
      </c>
      <c r="P112" s="1" t="s">
        <v>167</v>
      </c>
      <c r="Q112" s="1" t="s">
        <v>1219</v>
      </c>
      <c r="R112" s="1" t="s">
        <v>1151</v>
      </c>
      <c r="S112" s="2" t="s">
        <v>247</v>
      </c>
      <c r="T112" s="2" t="s">
        <v>97</v>
      </c>
    </row>
    <row r="113" spans="1:21" ht="68" x14ac:dyDescent="0.2">
      <c r="A113" s="20" t="s">
        <v>484</v>
      </c>
      <c r="B113" s="2" t="s">
        <v>91</v>
      </c>
      <c r="C113" s="2" t="s">
        <v>334</v>
      </c>
      <c r="D113" s="2" t="s">
        <v>291</v>
      </c>
      <c r="F113" s="2">
        <v>1979</v>
      </c>
      <c r="G113" s="2">
        <v>172</v>
      </c>
      <c r="H113" s="1" t="s">
        <v>74</v>
      </c>
      <c r="I113" s="1" t="s">
        <v>1050</v>
      </c>
      <c r="J113" s="1" t="s">
        <v>595</v>
      </c>
      <c r="K113" s="1" t="s">
        <v>583</v>
      </c>
      <c r="L113" s="1" t="s">
        <v>1256</v>
      </c>
      <c r="M113" s="1" t="s">
        <v>96</v>
      </c>
      <c r="N113" s="4" t="s">
        <v>1255</v>
      </c>
      <c r="O113" s="5">
        <v>147.3871</v>
      </c>
      <c r="P113" s="1" t="s">
        <v>167</v>
      </c>
      <c r="Q113" s="1" t="s">
        <v>1219</v>
      </c>
      <c r="R113" s="1" t="s">
        <v>1151</v>
      </c>
      <c r="S113" s="2" t="s">
        <v>247</v>
      </c>
      <c r="T113" s="2" t="s">
        <v>97</v>
      </c>
      <c r="U113" s="6" t="s">
        <v>99</v>
      </c>
    </row>
    <row r="114" spans="1:21" ht="51" x14ac:dyDescent="0.2">
      <c r="A114" s="20" t="s">
        <v>485</v>
      </c>
      <c r="B114" s="2" t="s">
        <v>91</v>
      </c>
      <c r="C114" s="2" t="s">
        <v>334</v>
      </c>
      <c r="D114" s="2" t="s">
        <v>291</v>
      </c>
      <c r="F114" s="2">
        <v>1979</v>
      </c>
      <c r="G114" s="2">
        <v>148</v>
      </c>
      <c r="H114" s="1" t="s">
        <v>74</v>
      </c>
      <c r="I114" s="1" t="s">
        <v>1051</v>
      </c>
      <c r="K114" s="1" t="s">
        <v>583</v>
      </c>
      <c r="L114" s="1" t="s">
        <v>1256</v>
      </c>
      <c r="M114" s="1" t="s">
        <v>92</v>
      </c>
      <c r="N114" s="4" t="s">
        <v>170</v>
      </c>
      <c r="O114" s="5" t="s">
        <v>171</v>
      </c>
      <c r="P114" s="1" t="s">
        <v>1247</v>
      </c>
      <c r="Q114" s="1" t="s">
        <v>1219</v>
      </c>
      <c r="R114" s="1" t="s">
        <v>1151</v>
      </c>
      <c r="S114" s="2" t="s">
        <v>247</v>
      </c>
      <c r="T114" s="2" t="s">
        <v>89</v>
      </c>
    </row>
    <row r="115" spans="1:21" ht="51" x14ac:dyDescent="0.2">
      <c r="A115" s="20" t="s">
        <v>486</v>
      </c>
      <c r="B115" s="2" t="s">
        <v>91</v>
      </c>
      <c r="C115" s="2" t="s">
        <v>334</v>
      </c>
      <c r="D115" s="2" t="s">
        <v>291</v>
      </c>
      <c r="F115" s="2">
        <v>1979</v>
      </c>
      <c r="G115" s="2">
        <v>198</v>
      </c>
      <c r="H115" s="1" t="s">
        <v>74</v>
      </c>
      <c r="I115" s="1" t="s">
        <v>1052</v>
      </c>
      <c r="K115" s="1" t="s">
        <v>583</v>
      </c>
      <c r="L115" s="1" t="s">
        <v>1256</v>
      </c>
      <c r="M115" s="1" t="s">
        <v>41</v>
      </c>
      <c r="N115" s="4" t="s">
        <v>43</v>
      </c>
      <c r="O115" s="5" t="s">
        <v>44</v>
      </c>
      <c r="P115" s="1" t="s">
        <v>167</v>
      </c>
      <c r="Q115" s="1" t="s">
        <v>1219</v>
      </c>
      <c r="R115" s="1" t="s">
        <v>1151</v>
      </c>
      <c r="S115" s="2" t="s">
        <v>247</v>
      </c>
      <c r="T115" s="2" t="s">
        <v>99</v>
      </c>
    </row>
    <row r="116" spans="1:21" ht="68" x14ac:dyDescent="0.2">
      <c r="A116" s="20" t="s">
        <v>487</v>
      </c>
      <c r="B116" s="2" t="s">
        <v>91</v>
      </c>
      <c r="C116" s="2" t="s">
        <v>334</v>
      </c>
      <c r="D116" s="2" t="s">
        <v>291</v>
      </c>
      <c r="F116" s="2">
        <v>1979</v>
      </c>
      <c r="G116" s="2">
        <v>107</v>
      </c>
      <c r="H116" s="1" t="s">
        <v>74</v>
      </c>
      <c r="I116" s="1" t="s">
        <v>267</v>
      </c>
      <c r="K116" s="1" t="s">
        <v>581</v>
      </c>
      <c r="L116" s="1" t="s">
        <v>1197</v>
      </c>
      <c r="M116" s="1" t="s">
        <v>160</v>
      </c>
      <c r="N116" s="4" t="s">
        <v>181</v>
      </c>
      <c r="O116" s="5" t="s">
        <v>182</v>
      </c>
      <c r="P116" s="1" t="s">
        <v>167</v>
      </c>
      <c r="Q116" s="1" t="s">
        <v>1219</v>
      </c>
      <c r="R116" s="1" t="s">
        <v>1131</v>
      </c>
      <c r="S116" s="2" t="s">
        <v>203</v>
      </c>
      <c r="T116" s="2" t="s">
        <v>90</v>
      </c>
    </row>
    <row r="117" spans="1:21" ht="34" x14ac:dyDescent="0.2">
      <c r="A117" s="20" t="s">
        <v>488</v>
      </c>
      <c r="B117" s="2" t="s">
        <v>91</v>
      </c>
      <c r="C117" s="2" t="s">
        <v>334</v>
      </c>
      <c r="D117" s="2" t="s">
        <v>291</v>
      </c>
      <c r="F117" s="2">
        <v>1979</v>
      </c>
      <c r="G117" s="2">
        <v>158</v>
      </c>
      <c r="H117" s="1" t="s">
        <v>74</v>
      </c>
      <c r="I117" s="1" t="s">
        <v>204</v>
      </c>
      <c r="K117" s="1">
        <v>1860</v>
      </c>
      <c r="L117" s="1" t="s">
        <v>1190</v>
      </c>
      <c r="M117" s="1" t="s">
        <v>94</v>
      </c>
      <c r="P117" s="1" t="s">
        <v>169</v>
      </c>
      <c r="Q117" s="1" t="s">
        <v>169</v>
      </c>
      <c r="R117" s="1" t="s">
        <v>1151</v>
      </c>
      <c r="S117" s="1" t="s">
        <v>0</v>
      </c>
      <c r="T117" s="2" t="s">
        <v>76</v>
      </c>
    </row>
    <row r="118" spans="1:21" ht="68" x14ac:dyDescent="0.2">
      <c r="A118" s="20" t="s">
        <v>489</v>
      </c>
      <c r="B118" s="2" t="s">
        <v>91</v>
      </c>
      <c r="C118" s="2" t="s">
        <v>334</v>
      </c>
      <c r="D118" s="2" t="s">
        <v>291</v>
      </c>
      <c r="F118" s="2">
        <v>1979</v>
      </c>
      <c r="G118" s="2">
        <v>107</v>
      </c>
      <c r="H118" s="1" t="s">
        <v>74</v>
      </c>
      <c r="I118" s="1" t="s">
        <v>1053</v>
      </c>
      <c r="K118" s="1">
        <v>1859</v>
      </c>
      <c r="L118" s="1" t="s">
        <v>1189</v>
      </c>
      <c r="M118" s="1" t="s">
        <v>63</v>
      </c>
      <c r="N118" s="4" t="s">
        <v>64</v>
      </c>
      <c r="O118" s="5" t="s">
        <v>65</v>
      </c>
      <c r="P118" s="1" t="s">
        <v>167</v>
      </c>
      <c r="Q118" s="1" t="s">
        <v>1218</v>
      </c>
      <c r="R118" s="1" t="s">
        <v>1131</v>
      </c>
      <c r="S118" s="2" t="s">
        <v>66</v>
      </c>
      <c r="T118" s="1" t="s">
        <v>66</v>
      </c>
    </row>
    <row r="119" spans="1:21" ht="51" x14ac:dyDescent="0.2">
      <c r="A119" s="20" t="s">
        <v>490</v>
      </c>
      <c r="B119" s="2" t="s">
        <v>91</v>
      </c>
      <c r="C119" s="2" t="s">
        <v>334</v>
      </c>
      <c r="D119" s="2" t="s">
        <v>291</v>
      </c>
      <c r="F119" s="2">
        <v>1979</v>
      </c>
      <c r="G119" s="2">
        <v>178</v>
      </c>
      <c r="H119" s="1" t="s">
        <v>74</v>
      </c>
      <c r="I119" s="1" t="s">
        <v>1054</v>
      </c>
      <c r="J119" s="1" t="s">
        <v>102</v>
      </c>
      <c r="K119" s="1" t="s">
        <v>583</v>
      </c>
      <c r="L119" s="1" t="s">
        <v>1256</v>
      </c>
      <c r="M119" s="1" t="s">
        <v>29</v>
      </c>
      <c r="N119" s="4" t="s">
        <v>11</v>
      </c>
      <c r="O119" s="5">
        <v>147.321425002133</v>
      </c>
      <c r="P119" s="1" t="s">
        <v>167</v>
      </c>
      <c r="Q119" s="1" t="s">
        <v>1219</v>
      </c>
      <c r="R119" s="1" t="s">
        <v>1151</v>
      </c>
      <c r="S119" s="2" t="s">
        <v>247</v>
      </c>
      <c r="T119" s="2" t="s">
        <v>98</v>
      </c>
    </row>
    <row r="120" spans="1:21" ht="51" x14ac:dyDescent="0.2">
      <c r="A120" s="20" t="s">
        <v>491</v>
      </c>
      <c r="B120" s="2" t="s">
        <v>91</v>
      </c>
      <c r="C120" s="2" t="s">
        <v>334</v>
      </c>
      <c r="D120" s="2" t="s">
        <v>291</v>
      </c>
      <c r="F120" s="2">
        <v>1979</v>
      </c>
      <c r="G120" s="2">
        <v>181</v>
      </c>
      <c r="H120" s="1" t="s">
        <v>74</v>
      </c>
      <c r="I120" s="1" t="s">
        <v>1055</v>
      </c>
      <c r="K120" s="1" t="s">
        <v>583</v>
      </c>
      <c r="L120" s="1" t="s">
        <v>1256</v>
      </c>
      <c r="M120" s="1" t="s">
        <v>29</v>
      </c>
      <c r="N120" s="4" t="s">
        <v>11</v>
      </c>
      <c r="O120" s="5">
        <v>147.321425002133</v>
      </c>
      <c r="P120" s="1" t="s">
        <v>167</v>
      </c>
      <c r="Q120" s="1" t="s">
        <v>1219</v>
      </c>
      <c r="R120" s="1" t="s">
        <v>1151</v>
      </c>
      <c r="S120" s="2" t="s">
        <v>247</v>
      </c>
      <c r="T120" s="2" t="s">
        <v>99</v>
      </c>
    </row>
    <row r="121" spans="1:21" ht="51" x14ac:dyDescent="0.2">
      <c r="A121" s="20" t="s">
        <v>492</v>
      </c>
      <c r="B121" s="2" t="s">
        <v>91</v>
      </c>
      <c r="C121" s="2" t="s">
        <v>334</v>
      </c>
      <c r="D121" s="2" t="s">
        <v>291</v>
      </c>
      <c r="F121" s="2">
        <v>1979</v>
      </c>
      <c r="G121" s="2">
        <v>182</v>
      </c>
      <c r="H121" s="1" t="s">
        <v>74</v>
      </c>
      <c r="I121" s="1" t="s">
        <v>1056</v>
      </c>
      <c r="K121" s="1" t="s">
        <v>583</v>
      </c>
      <c r="L121" s="1" t="s">
        <v>1256</v>
      </c>
      <c r="M121" s="1" t="s">
        <v>29</v>
      </c>
      <c r="N121" s="4" t="s">
        <v>11</v>
      </c>
      <c r="O121" s="5">
        <v>147.321425002133</v>
      </c>
      <c r="P121" s="1" t="s">
        <v>167</v>
      </c>
      <c r="Q121" s="1" t="s">
        <v>1219</v>
      </c>
      <c r="R121" s="1" t="s">
        <v>1151</v>
      </c>
      <c r="S121" s="2" t="s">
        <v>247</v>
      </c>
      <c r="T121" s="2" t="s">
        <v>100</v>
      </c>
    </row>
    <row r="122" spans="1:21" ht="51" x14ac:dyDescent="0.2">
      <c r="A122" s="20" t="s">
        <v>493</v>
      </c>
      <c r="B122" s="2" t="s">
        <v>91</v>
      </c>
      <c r="C122" s="2" t="s">
        <v>334</v>
      </c>
      <c r="D122" s="2" t="s">
        <v>291</v>
      </c>
      <c r="F122" s="2">
        <v>1979</v>
      </c>
      <c r="G122" s="2">
        <v>182</v>
      </c>
      <c r="H122" s="1" t="s">
        <v>74</v>
      </c>
      <c r="I122" s="1" t="s">
        <v>1057</v>
      </c>
      <c r="J122" s="1" t="s">
        <v>101</v>
      </c>
      <c r="K122" s="1" t="s">
        <v>583</v>
      </c>
      <c r="L122" s="1" t="s">
        <v>1256</v>
      </c>
      <c r="M122" s="1" t="s">
        <v>29</v>
      </c>
      <c r="N122" s="4" t="s">
        <v>11</v>
      </c>
      <c r="O122" s="5">
        <v>147.321425002133</v>
      </c>
      <c r="P122" s="1" t="s">
        <v>167</v>
      </c>
      <c r="Q122" s="1" t="s">
        <v>1219</v>
      </c>
      <c r="R122" s="1" t="s">
        <v>1151</v>
      </c>
      <c r="S122" s="2" t="s">
        <v>247</v>
      </c>
      <c r="T122" s="2" t="s">
        <v>97</v>
      </c>
    </row>
    <row r="123" spans="1:21" ht="85" x14ac:dyDescent="0.2">
      <c r="A123" s="20" t="s">
        <v>494</v>
      </c>
      <c r="B123" s="2" t="s">
        <v>91</v>
      </c>
      <c r="C123" s="2" t="s">
        <v>334</v>
      </c>
      <c r="D123" s="2" t="s">
        <v>291</v>
      </c>
      <c r="F123" s="2">
        <v>1979</v>
      </c>
      <c r="G123" s="2">
        <v>188</v>
      </c>
      <c r="H123" s="1" t="s">
        <v>74</v>
      </c>
      <c r="I123" s="1" t="s">
        <v>1058</v>
      </c>
      <c r="J123" s="1" t="s">
        <v>101</v>
      </c>
      <c r="K123" s="1" t="s">
        <v>583</v>
      </c>
      <c r="L123" s="1" t="s">
        <v>1256</v>
      </c>
      <c r="M123" s="1" t="s">
        <v>29</v>
      </c>
      <c r="N123" s="4" t="s">
        <v>11</v>
      </c>
      <c r="O123" s="5">
        <v>147.321425002133</v>
      </c>
      <c r="P123" s="1" t="s">
        <v>167</v>
      </c>
      <c r="Q123" s="1" t="s">
        <v>1219</v>
      </c>
      <c r="R123" s="1" t="s">
        <v>1151</v>
      </c>
      <c r="S123" s="2" t="s">
        <v>247</v>
      </c>
      <c r="T123" s="2" t="s">
        <v>97</v>
      </c>
    </row>
    <row r="124" spans="1:21" ht="51" x14ac:dyDescent="0.2">
      <c r="A124" s="20" t="s">
        <v>495</v>
      </c>
      <c r="B124" s="2" t="s">
        <v>91</v>
      </c>
      <c r="C124" s="2" t="s">
        <v>334</v>
      </c>
      <c r="D124" s="2" t="s">
        <v>291</v>
      </c>
      <c r="F124" s="2">
        <v>1979</v>
      </c>
      <c r="G124" s="2">
        <v>189</v>
      </c>
      <c r="H124" s="1" t="s">
        <v>74</v>
      </c>
      <c r="I124" s="1" t="s">
        <v>246</v>
      </c>
      <c r="J124" s="1" t="s">
        <v>101</v>
      </c>
      <c r="K124" s="1" t="s">
        <v>583</v>
      </c>
      <c r="L124" s="1" t="s">
        <v>1256</v>
      </c>
      <c r="M124" s="1" t="s">
        <v>29</v>
      </c>
      <c r="N124" s="4" t="s">
        <v>11</v>
      </c>
      <c r="O124" s="5">
        <v>147.321425002133</v>
      </c>
      <c r="P124" s="1" t="s">
        <v>167</v>
      </c>
      <c r="Q124" s="1" t="s">
        <v>1219</v>
      </c>
      <c r="R124" s="1" t="s">
        <v>1151</v>
      </c>
      <c r="S124" s="2" t="s">
        <v>247</v>
      </c>
      <c r="T124" s="2" t="s">
        <v>99</v>
      </c>
    </row>
    <row r="125" spans="1:21" ht="51" x14ac:dyDescent="0.2">
      <c r="A125" s="20" t="s">
        <v>496</v>
      </c>
      <c r="B125" s="2" t="s">
        <v>91</v>
      </c>
      <c r="C125" s="2" t="s">
        <v>334</v>
      </c>
      <c r="D125" s="2" t="s">
        <v>291</v>
      </c>
      <c r="F125" s="2">
        <v>1979</v>
      </c>
      <c r="G125" s="2">
        <v>190</v>
      </c>
      <c r="H125" s="1" t="s">
        <v>74</v>
      </c>
      <c r="I125" s="1" t="s">
        <v>1059</v>
      </c>
      <c r="K125" s="1" t="s">
        <v>583</v>
      </c>
      <c r="L125" s="1" t="s">
        <v>1256</v>
      </c>
      <c r="M125" s="1" t="s">
        <v>29</v>
      </c>
      <c r="N125" s="4" t="s">
        <v>11</v>
      </c>
      <c r="O125" s="5">
        <v>147.321425002133</v>
      </c>
      <c r="P125" s="1" t="s">
        <v>167</v>
      </c>
      <c r="Q125" s="1" t="s">
        <v>1219</v>
      </c>
      <c r="R125" s="1" t="s">
        <v>1151</v>
      </c>
      <c r="S125" s="2" t="s">
        <v>247</v>
      </c>
      <c r="T125" s="2" t="s">
        <v>99</v>
      </c>
    </row>
    <row r="126" spans="1:21" ht="68" x14ac:dyDescent="0.2">
      <c r="A126" s="20" t="s">
        <v>497</v>
      </c>
      <c r="B126" s="2" t="s">
        <v>91</v>
      </c>
      <c r="C126" s="2" t="s">
        <v>334</v>
      </c>
      <c r="D126" s="2" t="s">
        <v>291</v>
      </c>
      <c r="F126" s="2">
        <v>1979</v>
      </c>
      <c r="G126" s="2">
        <v>201</v>
      </c>
      <c r="H126" s="1" t="s">
        <v>109</v>
      </c>
      <c r="I126" s="1" t="s">
        <v>1060</v>
      </c>
      <c r="K126" s="1" t="s">
        <v>583</v>
      </c>
      <c r="L126" s="1" t="s">
        <v>1256</v>
      </c>
      <c r="M126" s="1" t="s">
        <v>110</v>
      </c>
      <c r="N126" s="5" t="s">
        <v>111</v>
      </c>
      <c r="O126" s="5" t="s">
        <v>112</v>
      </c>
      <c r="P126" s="1" t="s">
        <v>1246</v>
      </c>
      <c r="Q126" s="1" t="s">
        <v>1219</v>
      </c>
      <c r="R126" s="1" t="s">
        <v>1151</v>
      </c>
      <c r="S126" s="2" t="s">
        <v>247</v>
      </c>
      <c r="T126" s="2" t="s">
        <v>99</v>
      </c>
    </row>
    <row r="127" spans="1:21" ht="68" x14ac:dyDescent="0.2">
      <c r="A127" s="20" t="s">
        <v>498</v>
      </c>
      <c r="B127" s="2" t="s">
        <v>91</v>
      </c>
      <c r="C127" s="2" t="s">
        <v>334</v>
      </c>
      <c r="D127" s="2" t="s">
        <v>291</v>
      </c>
      <c r="F127" s="2">
        <v>1979</v>
      </c>
      <c r="G127" s="2">
        <v>200</v>
      </c>
      <c r="H127" s="1" t="s">
        <v>109</v>
      </c>
      <c r="I127" s="1" t="s">
        <v>1061</v>
      </c>
      <c r="K127" s="1" t="s">
        <v>583</v>
      </c>
      <c r="L127" s="1" t="s">
        <v>1256</v>
      </c>
      <c r="M127" s="1" t="s">
        <v>77</v>
      </c>
      <c r="N127" s="4" t="s">
        <v>78</v>
      </c>
      <c r="O127" s="5" t="s">
        <v>79</v>
      </c>
      <c r="P127" s="1" t="s">
        <v>167</v>
      </c>
      <c r="Q127" s="1" t="s">
        <v>1219</v>
      </c>
      <c r="R127" s="1" t="s">
        <v>1151</v>
      </c>
      <c r="S127" s="2" t="s">
        <v>247</v>
      </c>
      <c r="T127" s="2" t="s">
        <v>99</v>
      </c>
    </row>
    <row r="128" spans="1:21" ht="51" x14ac:dyDescent="0.2">
      <c r="A128" s="20" t="s">
        <v>499</v>
      </c>
      <c r="B128" s="2" t="s">
        <v>91</v>
      </c>
      <c r="C128" s="2" t="s">
        <v>334</v>
      </c>
      <c r="D128" s="2" t="s">
        <v>291</v>
      </c>
      <c r="F128" s="2">
        <v>1979</v>
      </c>
      <c r="G128" s="2">
        <v>200</v>
      </c>
      <c r="H128" s="1" t="s">
        <v>109</v>
      </c>
      <c r="I128" s="1" t="s">
        <v>1062</v>
      </c>
      <c r="K128" s="1" t="s">
        <v>583</v>
      </c>
      <c r="L128" s="1" t="s">
        <v>1256</v>
      </c>
      <c r="M128" s="1" t="s">
        <v>108</v>
      </c>
      <c r="P128" s="1" t="s">
        <v>169</v>
      </c>
      <c r="Q128" s="1" t="s">
        <v>169</v>
      </c>
      <c r="R128" s="1" t="s">
        <v>1151</v>
      </c>
      <c r="S128" s="2" t="s">
        <v>247</v>
      </c>
      <c r="T128" s="2" t="s">
        <v>99</v>
      </c>
    </row>
    <row r="129" spans="1:21" ht="51" x14ac:dyDescent="0.2">
      <c r="A129" s="20" t="s">
        <v>500</v>
      </c>
      <c r="B129" s="2" t="s">
        <v>91</v>
      </c>
      <c r="C129" s="2" t="s">
        <v>334</v>
      </c>
      <c r="D129" s="2" t="s">
        <v>291</v>
      </c>
      <c r="F129" s="2">
        <v>1979</v>
      </c>
      <c r="G129" s="2">
        <v>192</v>
      </c>
      <c r="H129" s="1" t="s">
        <v>74</v>
      </c>
      <c r="I129" s="1" t="s">
        <v>1063</v>
      </c>
      <c r="K129" s="1" t="s">
        <v>583</v>
      </c>
      <c r="L129" s="1" t="s">
        <v>1256</v>
      </c>
      <c r="M129" s="1" t="s">
        <v>105</v>
      </c>
      <c r="N129" s="4" t="s">
        <v>106</v>
      </c>
      <c r="O129" s="5" t="s">
        <v>107</v>
      </c>
      <c r="P129" s="1" t="s">
        <v>167</v>
      </c>
      <c r="Q129" s="1" t="s">
        <v>1219</v>
      </c>
      <c r="R129" s="1" t="s">
        <v>1151</v>
      </c>
      <c r="S129" s="2" t="s">
        <v>247</v>
      </c>
      <c r="T129" s="2" t="s">
        <v>99</v>
      </c>
    </row>
    <row r="130" spans="1:21" ht="68" x14ac:dyDescent="0.2">
      <c r="A130" s="20" t="s">
        <v>501</v>
      </c>
      <c r="B130" s="2" t="s">
        <v>320</v>
      </c>
      <c r="C130" s="6" t="s">
        <v>263</v>
      </c>
      <c r="D130" s="2" t="s">
        <v>263</v>
      </c>
      <c r="E130" s="2" t="s">
        <v>140</v>
      </c>
      <c r="F130" s="2">
        <v>1911</v>
      </c>
      <c r="G130" s="2">
        <v>6</v>
      </c>
      <c r="H130" s="1" t="s">
        <v>74</v>
      </c>
      <c r="I130" s="1" t="s">
        <v>961</v>
      </c>
      <c r="K130" s="1">
        <v>1859</v>
      </c>
      <c r="L130" s="1" t="s">
        <v>1189</v>
      </c>
      <c r="M130" s="1" t="s">
        <v>63</v>
      </c>
      <c r="N130" s="4" t="s">
        <v>64</v>
      </c>
      <c r="O130" s="5" t="s">
        <v>65</v>
      </c>
      <c r="P130" s="1" t="s">
        <v>167</v>
      </c>
      <c r="Q130" s="1" t="s">
        <v>1218</v>
      </c>
      <c r="R130" s="1" t="s">
        <v>1131</v>
      </c>
      <c r="S130" s="2" t="s">
        <v>66</v>
      </c>
      <c r="T130" s="2" t="s">
        <v>66</v>
      </c>
    </row>
    <row r="131" spans="1:21" ht="153" x14ac:dyDescent="0.2">
      <c r="A131" s="20" t="s">
        <v>502</v>
      </c>
      <c r="B131" s="2" t="s">
        <v>321</v>
      </c>
      <c r="C131" s="6" t="s">
        <v>263</v>
      </c>
      <c r="D131" s="2" t="s">
        <v>263</v>
      </c>
      <c r="E131" s="2" t="s">
        <v>146</v>
      </c>
      <c r="F131" s="2">
        <v>1881</v>
      </c>
      <c r="G131" s="2">
        <v>2</v>
      </c>
      <c r="H131" s="1" t="s">
        <v>74</v>
      </c>
      <c r="I131" s="1" t="s">
        <v>964</v>
      </c>
      <c r="K131" s="1">
        <v>1881</v>
      </c>
      <c r="L131" s="1" t="s">
        <v>1193</v>
      </c>
      <c r="M131" s="1" t="s">
        <v>77</v>
      </c>
      <c r="N131" s="4" t="s">
        <v>78</v>
      </c>
      <c r="O131" s="5" t="s">
        <v>79</v>
      </c>
      <c r="P131" s="1" t="s">
        <v>167</v>
      </c>
      <c r="Q131" s="1" t="s">
        <v>1219</v>
      </c>
      <c r="R131" s="1" t="s">
        <v>1151</v>
      </c>
      <c r="S131" s="2" t="s">
        <v>203</v>
      </c>
      <c r="T131" s="2" t="s">
        <v>51</v>
      </c>
    </row>
    <row r="132" spans="1:21" ht="184" customHeight="1" x14ac:dyDescent="0.2">
      <c r="A132" s="20" t="s">
        <v>503</v>
      </c>
      <c r="B132" s="2" t="s">
        <v>1274</v>
      </c>
      <c r="C132" s="6" t="s">
        <v>263</v>
      </c>
      <c r="D132" s="2" t="s">
        <v>263</v>
      </c>
      <c r="E132" s="2" t="s">
        <v>151</v>
      </c>
      <c r="F132" s="2">
        <v>1919</v>
      </c>
      <c r="G132" s="2">
        <v>15</v>
      </c>
      <c r="H132" s="1" t="s">
        <v>74</v>
      </c>
      <c r="I132" s="1" t="s">
        <v>1144</v>
      </c>
      <c r="K132" s="1">
        <v>1859</v>
      </c>
      <c r="L132" s="1" t="s">
        <v>1189</v>
      </c>
      <c r="M132" s="1" t="s">
        <v>63</v>
      </c>
      <c r="N132" s="4" t="s">
        <v>64</v>
      </c>
      <c r="O132" s="5" t="s">
        <v>65</v>
      </c>
      <c r="P132" s="1" t="s">
        <v>167</v>
      </c>
      <c r="Q132" s="1" t="s">
        <v>1218</v>
      </c>
      <c r="R132" s="1" t="s">
        <v>1131</v>
      </c>
      <c r="S132" s="2" t="s">
        <v>66</v>
      </c>
      <c r="T132" s="2" t="s">
        <v>66</v>
      </c>
    </row>
    <row r="133" spans="1:21" ht="102" x14ac:dyDescent="0.2">
      <c r="A133" s="20" t="s">
        <v>504</v>
      </c>
      <c r="B133" s="2" t="s">
        <v>322</v>
      </c>
      <c r="C133" s="6" t="s">
        <v>263</v>
      </c>
      <c r="D133" s="1" t="s">
        <v>263</v>
      </c>
      <c r="E133" s="1" t="s">
        <v>144</v>
      </c>
      <c r="F133" s="2">
        <v>1865</v>
      </c>
      <c r="G133" s="2">
        <v>148</v>
      </c>
      <c r="H133" s="1" t="s">
        <v>74</v>
      </c>
      <c r="I133" s="1" t="s">
        <v>960</v>
      </c>
      <c r="K133" s="1">
        <v>1865</v>
      </c>
      <c r="L133" s="1" t="s">
        <v>1190</v>
      </c>
      <c r="M133" s="1" t="s">
        <v>29</v>
      </c>
      <c r="N133" s="4" t="s">
        <v>11</v>
      </c>
      <c r="O133" s="5">
        <v>147.321425002133</v>
      </c>
      <c r="P133" s="1" t="s">
        <v>167</v>
      </c>
      <c r="Q133" s="1" t="s">
        <v>1219</v>
      </c>
      <c r="R133" s="1" t="s">
        <v>1138</v>
      </c>
      <c r="S133" s="2" t="s">
        <v>203</v>
      </c>
      <c r="T133" s="2" t="s">
        <v>90</v>
      </c>
    </row>
    <row r="134" spans="1:21" ht="32" customHeight="1" x14ac:dyDescent="0.2">
      <c r="A134" s="20" t="s">
        <v>505</v>
      </c>
      <c r="B134" s="2" t="s">
        <v>1309</v>
      </c>
      <c r="C134" s="2" t="s">
        <v>263</v>
      </c>
      <c r="D134" s="2" t="s">
        <v>263</v>
      </c>
      <c r="F134" s="2">
        <v>1900</v>
      </c>
      <c r="H134" s="1" t="s">
        <v>74</v>
      </c>
      <c r="I134" s="1" t="s">
        <v>1310</v>
      </c>
      <c r="J134" s="1" t="s">
        <v>1145</v>
      </c>
      <c r="K134" s="1">
        <v>1886</v>
      </c>
      <c r="L134" s="1" t="s">
        <v>1193</v>
      </c>
      <c r="M134" s="1" t="s">
        <v>46</v>
      </c>
      <c r="N134" s="4" t="s">
        <v>270</v>
      </c>
      <c r="O134" s="5" t="s">
        <v>271</v>
      </c>
      <c r="P134" s="1" t="s">
        <v>167</v>
      </c>
      <c r="Q134" s="1" t="s">
        <v>220</v>
      </c>
      <c r="R134" s="1" t="s">
        <v>1134</v>
      </c>
      <c r="S134" s="1" t="s">
        <v>203</v>
      </c>
      <c r="T134" s="1" t="s">
        <v>51</v>
      </c>
    </row>
    <row r="135" spans="1:21" ht="85" x14ac:dyDescent="0.2">
      <c r="A135" s="20" t="s">
        <v>506</v>
      </c>
      <c r="B135" s="1" t="s">
        <v>346</v>
      </c>
      <c r="C135" s="2" t="s">
        <v>263</v>
      </c>
      <c r="D135" s="2" t="s">
        <v>263</v>
      </c>
      <c r="F135" s="2">
        <v>1886</v>
      </c>
      <c r="H135" s="1" t="s">
        <v>74</v>
      </c>
      <c r="I135" s="1" t="s">
        <v>1158</v>
      </c>
      <c r="J135" s="1" t="s">
        <v>1159</v>
      </c>
      <c r="K135" s="1">
        <v>1886</v>
      </c>
      <c r="L135" s="1" t="s">
        <v>1193</v>
      </c>
      <c r="M135" s="1" t="s">
        <v>46</v>
      </c>
      <c r="N135" s="4" t="s">
        <v>270</v>
      </c>
      <c r="O135" s="5" t="s">
        <v>271</v>
      </c>
      <c r="P135" s="1" t="s">
        <v>167</v>
      </c>
      <c r="Q135" s="1" t="s">
        <v>220</v>
      </c>
      <c r="R135" s="1" t="s">
        <v>1134</v>
      </c>
      <c r="S135" s="1" t="s">
        <v>203</v>
      </c>
      <c r="T135" s="1" t="s">
        <v>51</v>
      </c>
    </row>
    <row r="136" spans="1:21" ht="136" x14ac:dyDescent="0.2">
      <c r="A136" s="20" t="s">
        <v>507</v>
      </c>
      <c r="B136" s="1" t="s">
        <v>345</v>
      </c>
      <c r="C136" s="2" t="s">
        <v>263</v>
      </c>
      <c r="D136" s="2" t="s">
        <v>263</v>
      </c>
      <c r="F136" s="2">
        <v>1886</v>
      </c>
      <c r="H136" s="1" t="s">
        <v>74</v>
      </c>
      <c r="I136" s="1" t="s">
        <v>1174</v>
      </c>
      <c r="J136" s="1" t="s">
        <v>1175</v>
      </c>
      <c r="K136" s="1">
        <v>1886</v>
      </c>
      <c r="L136" s="1" t="s">
        <v>1193</v>
      </c>
      <c r="M136" s="1" t="s">
        <v>46</v>
      </c>
      <c r="N136" s="4" t="s">
        <v>270</v>
      </c>
      <c r="O136" s="5" t="s">
        <v>271</v>
      </c>
      <c r="P136" s="1" t="s">
        <v>167</v>
      </c>
      <c r="Q136" s="1" t="s">
        <v>220</v>
      </c>
      <c r="R136" s="1" t="s">
        <v>1134</v>
      </c>
      <c r="S136" s="1" t="s">
        <v>203</v>
      </c>
      <c r="T136" s="1" t="s">
        <v>51</v>
      </c>
    </row>
    <row r="137" spans="1:21" ht="68" x14ac:dyDescent="0.2">
      <c r="A137" s="20" t="s">
        <v>508</v>
      </c>
      <c r="B137" s="2" t="s">
        <v>154</v>
      </c>
      <c r="C137" s="6" t="s">
        <v>276</v>
      </c>
      <c r="D137" s="6" t="s">
        <v>290</v>
      </c>
      <c r="E137" s="6"/>
      <c r="F137" s="2">
        <v>1903</v>
      </c>
      <c r="G137" s="2">
        <v>148</v>
      </c>
      <c r="H137" s="1" t="s">
        <v>74</v>
      </c>
      <c r="I137" s="1" t="s">
        <v>1064</v>
      </c>
      <c r="K137" s="1" t="s">
        <v>583</v>
      </c>
      <c r="L137" s="1" t="s">
        <v>1256</v>
      </c>
      <c r="M137" s="1" t="s">
        <v>36</v>
      </c>
      <c r="N137" s="4" t="s">
        <v>12</v>
      </c>
      <c r="O137" s="5">
        <v>146.85613215622399</v>
      </c>
      <c r="P137" s="1" t="s">
        <v>167</v>
      </c>
      <c r="Q137" s="1" t="s">
        <v>1219</v>
      </c>
      <c r="R137" s="1" t="s">
        <v>1151</v>
      </c>
      <c r="S137" s="2" t="s">
        <v>247</v>
      </c>
      <c r="T137" s="2" t="s">
        <v>89</v>
      </c>
    </row>
    <row r="138" spans="1:21" ht="17" x14ac:dyDescent="0.2">
      <c r="A138" s="20" t="s">
        <v>509</v>
      </c>
      <c r="B138" s="2" t="s">
        <v>356</v>
      </c>
      <c r="C138" s="2" t="s">
        <v>263</v>
      </c>
      <c r="D138" s="2" t="s">
        <v>263</v>
      </c>
      <c r="F138" s="2">
        <v>1893</v>
      </c>
      <c r="G138" s="2">
        <v>14</v>
      </c>
      <c r="H138" s="1" t="s">
        <v>74</v>
      </c>
      <c r="I138" s="1" t="s">
        <v>357</v>
      </c>
      <c r="K138" s="1">
        <v>1893</v>
      </c>
      <c r="L138" s="1" t="s">
        <v>1191</v>
      </c>
      <c r="M138" s="1" t="s">
        <v>121</v>
      </c>
      <c r="N138" s="4" t="s">
        <v>122</v>
      </c>
      <c r="O138" s="5" t="s">
        <v>123</v>
      </c>
      <c r="P138" s="1" t="s">
        <v>167</v>
      </c>
      <c r="Q138" s="1" t="s">
        <v>220</v>
      </c>
      <c r="R138" s="1" t="s">
        <v>1135</v>
      </c>
      <c r="S138" s="1" t="s">
        <v>203</v>
      </c>
      <c r="T138" s="2" t="s">
        <v>37</v>
      </c>
    </row>
    <row r="139" spans="1:21" ht="85" x14ac:dyDescent="0.2">
      <c r="A139" s="20" t="s">
        <v>510</v>
      </c>
      <c r="B139" s="6" t="s">
        <v>73</v>
      </c>
      <c r="C139" s="6" t="s">
        <v>282</v>
      </c>
      <c r="D139" s="6" t="s">
        <v>283</v>
      </c>
      <c r="E139" s="6"/>
      <c r="F139" s="6">
        <v>1942</v>
      </c>
      <c r="G139" s="6">
        <v>25</v>
      </c>
      <c r="H139" s="7" t="s">
        <v>74</v>
      </c>
      <c r="I139" s="1" t="s">
        <v>80</v>
      </c>
      <c r="J139" s="1" t="s">
        <v>81</v>
      </c>
      <c r="K139" s="1" t="s">
        <v>583</v>
      </c>
      <c r="L139" s="1" t="s">
        <v>1256</v>
      </c>
      <c r="M139" s="1" t="s">
        <v>77</v>
      </c>
      <c r="N139" s="46" t="s">
        <v>78</v>
      </c>
      <c r="O139" s="48" t="s">
        <v>79</v>
      </c>
      <c r="P139" s="43" t="s">
        <v>167</v>
      </c>
      <c r="Q139" s="43" t="s">
        <v>1219</v>
      </c>
      <c r="R139" s="1" t="s">
        <v>1151</v>
      </c>
      <c r="S139" s="1" t="s">
        <v>0</v>
      </c>
      <c r="T139" s="1" t="s">
        <v>76</v>
      </c>
      <c r="U139" s="2" t="s">
        <v>600</v>
      </c>
    </row>
    <row r="140" spans="1:21" ht="34" x14ac:dyDescent="0.2">
      <c r="A140" s="20" t="s">
        <v>511</v>
      </c>
      <c r="B140" s="2" t="s">
        <v>294</v>
      </c>
      <c r="C140" s="2" t="s">
        <v>276</v>
      </c>
      <c r="D140" s="2" t="s">
        <v>290</v>
      </c>
      <c r="F140" s="2">
        <v>1896</v>
      </c>
      <c r="G140" s="2">
        <v>139</v>
      </c>
      <c r="H140" s="1" t="s">
        <v>74</v>
      </c>
      <c r="I140" s="1" t="s">
        <v>1065</v>
      </c>
      <c r="K140" s="1">
        <v>1895</v>
      </c>
      <c r="L140" s="1" t="s">
        <v>1191</v>
      </c>
      <c r="M140" s="1" t="s">
        <v>104</v>
      </c>
      <c r="N140" s="46" t="s">
        <v>187</v>
      </c>
      <c r="O140" s="48" t="s">
        <v>188</v>
      </c>
      <c r="P140" s="43" t="s">
        <v>167</v>
      </c>
      <c r="Q140" s="43" t="s">
        <v>1219</v>
      </c>
      <c r="R140" s="1" t="s">
        <v>1151</v>
      </c>
      <c r="S140" s="1" t="s">
        <v>203</v>
      </c>
      <c r="T140" s="2" t="s">
        <v>90</v>
      </c>
    </row>
    <row r="141" spans="1:21" ht="34" x14ac:dyDescent="0.2">
      <c r="A141" s="20" t="s">
        <v>512</v>
      </c>
      <c r="B141" s="2" t="s">
        <v>294</v>
      </c>
      <c r="C141" s="2" t="s">
        <v>276</v>
      </c>
      <c r="D141" s="2" t="s">
        <v>290</v>
      </c>
      <c r="F141" s="2">
        <v>1896</v>
      </c>
      <c r="G141" s="2">
        <v>142</v>
      </c>
      <c r="H141" s="1" t="s">
        <v>74</v>
      </c>
      <c r="I141" s="1" t="s">
        <v>1066</v>
      </c>
      <c r="K141" s="1">
        <v>1895</v>
      </c>
      <c r="L141" s="1" t="s">
        <v>1191</v>
      </c>
      <c r="M141" s="1" t="s">
        <v>104</v>
      </c>
      <c r="N141" s="46" t="s">
        <v>187</v>
      </c>
      <c r="O141" s="48" t="s">
        <v>188</v>
      </c>
      <c r="P141" s="43" t="s">
        <v>167</v>
      </c>
      <c r="Q141" s="43" t="s">
        <v>1219</v>
      </c>
      <c r="R141" s="1" t="s">
        <v>1151</v>
      </c>
      <c r="S141" s="1" t="s">
        <v>203</v>
      </c>
      <c r="T141" s="2" t="s">
        <v>90</v>
      </c>
    </row>
    <row r="142" spans="1:21" ht="51" x14ac:dyDescent="0.2">
      <c r="A142" s="20" t="s">
        <v>513</v>
      </c>
      <c r="B142" s="2" t="s">
        <v>293</v>
      </c>
      <c r="C142" s="2" t="s">
        <v>276</v>
      </c>
      <c r="D142" s="2" t="s">
        <v>290</v>
      </c>
      <c r="F142" s="2">
        <v>1896</v>
      </c>
      <c r="G142" s="2">
        <v>298</v>
      </c>
      <c r="H142" s="1" t="s">
        <v>74</v>
      </c>
      <c r="I142" s="1" t="s">
        <v>1067</v>
      </c>
      <c r="K142" s="1">
        <v>1893</v>
      </c>
      <c r="L142" s="1" t="s">
        <v>1191</v>
      </c>
      <c r="M142" s="1" t="s">
        <v>104</v>
      </c>
      <c r="N142" s="46" t="s">
        <v>187</v>
      </c>
      <c r="O142" s="48" t="s">
        <v>188</v>
      </c>
      <c r="P142" s="43" t="s">
        <v>167</v>
      </c>
      <c r="Q142" s="43" t="s">
        <v>1219</v>
      </c>
      <c r="R142" s="1" t="s">
        <v>1151</v>
      </c>
      <c r="S142" s="1" t="s">
        <v>203</v>
      </c>
      <c r="T142" s="2" t="s">
        <v>90</v>
      </c>
    </row>
    <row r="143" spans="1:21" ht="68" x14ac:dyDescent="0.2">
      <c r="A143" s="20" t="s">
        <v>514</v>
      </c>
      <c r="B143" s="2" t="s">
        <v>293</v>
      </c>
      <c r="C143" s="2" t="s">
        <v>276</v>
      </c>
      <c r="D143" s="2" t="s">
        <v>290</v>
      </c>
      <c r="F143" s="2">
        <v>1896</v>
      </c>
      <c r="G143" s="2">
        <v>312</v>
      </c>
      <c r="H143" s="1" t="s">
        <v>74</v>
      </c>
      <c r="I143" s="1" t="s">
        <v>1068</v>
      </c>
      <c r="K143" s="1">
        <v>1893</v>
      </c>
      <c r="L143" s="1" t="s">
        <v>1191</v>
      </c>
      <c r="M143" s="1" t="s">
        <v>104</v>
      </c>
      <c r="N143" s="46" t="s">
        <v>187</v>
      </c>
      <c r="O143" s="48" t="s">
        <v>188</v>
      </c>
      <c r="P143" s="43" t="s">
        <v>167</v>
      </c>
      <c r="Q143" s="43" t="s">
        <v>1219</v>
      </c>
      <c r="R143" s="1" t="s">
        <v>1151</v>
      </c>
      <c r="S143" s="43" t="s">
        <v>203</v>
      </c>
      <c r="T143" s="94" t="s">
        <v>90</v>
      </c>
    </row>
    <row r="144" spans="1:21" ht="51" x14ac:dyDescent="0.2">
      <c r="A144" s="20" t="s">
        <v>515</v>
      </c>
      <c r="B144" s="1" t="s">
        <v>139</v>
      </c>
      <c r="C144" s="2" t="s">
        <v>288</v>
      </c>
      <c r="D144" s="2" t="s">
        <v>289</v>
      </c>
      <c r="F144" s="2">
        <v>1918</v>
      </c>
      <c r="G144" s="2">
        <v>80</v>
      </c>
      <c r="H144" s="1" t="s">
        <v>74</v>
      </c>
      <c r="I144" s="1" t="s">
        <v>1069</v>
      </c>
      <c r="K144" s="1" t="s">
        <v>583</v>
      </c>
      <c r="L144" s="1" t="s">
        <v>1256</v>
      </c>
      <c r="M144" s="1" t="s">
        <v>77</v>
      </c>
      <c r="N144" s="4" t="s">
        <v>78</v>
      </c>
      <c r="O144" s="5" t="s">
        <v>79</v>
      </c>
      <c r="P144" s="1" t="s">
        <v>167</v>
      </c>
      <c r="Q144" s="1" t="s">
        <v>1219</v>
      </c>
      <c r="R144" s="1" t="s">
        <v>1151</v>
      </c>
      <c r="S144" s="1" t="s">
        <v>0</v>
      </c>
      <c r="T144" s="2" t="s">
        <v>600</v>
      </c>
    </row>
    <row r="145" spans="1:21" ht="51" x14ac:dyDescent="0.2">
      <c r="A145" s="20" t="s">
        <v>516</v>
      </c>
      <c r="B145" s="1" t="s">
        <v>139</v>
      </c>
      <c r="C145" s="2" t="s">
        <v>288</v>
      </c>
      <c r="D145" s="2" t="s">
        <v>289</v>
      </c>
      <c r="F145" s="2">
        <v>1918</v>
      </c>
      <c r="G145" s="2">
        <v>94</v>
      </c>
      <c r="H145" s="1" t="s">
        <v>74</v>
      </c>
      <c r="I145" s="1" t="s">
        <v>1070</v>
      </c>
      <c r="K145" s="1" t="s">
        <v>583</v>
      </c>
      <c r="L145" s="1" t="s">
        <v>1256</v>
      </c>
      <c r="M145" s="1" t="s">
        <v>77</v>
      </c>
      <c r="N145" s="4" t="s">
        <v>78</v>
      </c>
      <c r="O145" s="5" t="s">
        <v>79</v>
      </c>
      <c r="P145" s="1" t="s">
        <v>167</v>
      </c>
      <c r="Q145" s="1" t="s">
        <v>1219</v>
      </c>
      <c r="R145" s="1" t="s">
        <v>1151</v>
      </c>
      <c r="S145" s="1" t="s">
        <v>0</v>
      </c>
      <c r="T145" s="2" t="s">
        <v>600</v>
      </c>
      <c r="U145" s="2" t="s">
        <v>82</v>
      </c>
    </row>
    <row r="146" spans="1:21" ht="34" x14ac:dyDescent="0.2">
      <c r="A146" s="20" t="s">
        <v>517</v>
      </c>
      <c r="B146" s="6" t="s">
        <v>30</v>
      </c>
      <c r="C146" s="6" t="s">
        <v>280</v>
      </c>
      <c r="D146" s="6" t="s">
        <v>281</v>
      </c>
      <c r="E146" s="6"/>
      <c r="F146" s="6">
        <v>1905</v>
      </c>
      <c r="G146" s="6">
        <v>102</v>
      </c>
      <c r="H146" s="1" t="s">
        <v>74</v>
      </c>
      <c r="I146" s="1" t="s">
        <v>1071</v>
      </c>
      <c r="J146" s="1" t="s">
        <v>88</v>
      </c>
      <c r="K146" s="1" t="s">
        <v>262</v>
      </c>
      <c r="L146" s="1" t="s">
        <v>262</v>
      </c>
      <c r="M146" s="1" t="s">
        <v>50</v>
      </c>
      <c r="N146" s="4" t="s">
        <v>227</v>
      </c>
      <c r="O146" s="5" t="s">
        <v>228</v>
      </c>
      <c r="P146" s="1" t="s">
        <v>1247</v>
      </c>
      <c r="Q146" s="1" t="s">
        <v>1219</v>
      </c>
      <c r="R146" s="1" t="s">
        <v>1151</v>
      </c>
      <c r="S146" s="1" t="s">
        <v>0</v>
      </c>
      <c r="T146" s="2" t="s">
        <v>205</v>
      </c>
    </row>
    <row r="147" spans="1:21" ht="51" x14ac:dyDescent="0.2">
      <c r="A147" s="20" t="s">
        <v>518</v>
      </c>
      <c r="B147" s="6" t="s">
        <v>30</v>
      </c>
      <c r="C147" s="6" t="s">
        <v>280</v>
      </c>
      <c r="D147" s="6" t="s">
        <v>281</v>
      </c>
      <c r="E147" s="6"/>
      <c r="F147" s="6">
        <v>1905</v>
      </c>
      <c r="G147" s="6">
        <v>8</v>
      </c>
      <c r="H147" s="1" t="s">
        <v>74</v>
      </c>
      <c r="I147" s="1" t="s">
        <v>1072</v>
      </c>
      <c r="K147" s="1" t="s">
        <v>583</v>
      </c>
      <c r="L147" s="1" t="s">
        <v>1256</v>
      </c>
      <c r="M147" s="1" t="s">
        <v>1271</v>
      </c>
      <c r="N147" s="4" t="s">
        <v>198</v>
      </c>
      <c r="O147" s="5" t="s">
        <v>199</v>
      </c>
      <c r="P147" s="1" t="s">
        <v>167</v>
      </c>
      <c r="Q147" s="1" t="s">
        <v>1218</v>
      </c>
      <c r="R147" s="1" t="s">
        <v>1139</v>
      </c>
      <c r="S147" s="2" t="s">
        <v>247</v>
      </c>
      <c r="T147" s="2" t="s">
        <v>89</v>
      </c>
    </row>
    <row r="148" spans="1:21" ht="34" x14ac:dyDescent="0.2">
      <c r="A148" s="20" t="s">
        <v>519</v>
      </c>
      <c r="B148" s="6" t="s">
        <v>30</v>
      </c>
      <c r="C148" s="6" t="s">
        <v>280</v>
      </c>
      <c r="D148" s="6" t="s">
        <v>281</v>
      </c>
      <c r="E148" s="6"/>
      <c r="F148" s="6">
        <v>1905</v>
      </c>
      <c r="G148" s="6">
        <v>2</v>
      </c>
      <c r="H148" s="1" t="s">
        <v>74</v>
      </c>
      <c r="I148" s="1" t="s">
        <v>1073</v>
      </c>
      <c r="K148" s="1">
        <v>1887</v>
      </c>
      <c r="L148" s="1" t="s">
        <v>1193</v>
      </c>
      <c r="M148" s="1" t="s">
        <v>121</v>
      </c>
      <c r="N148" s="4" t="s">
        <v>122</v>
      </c>
      <c r="O148" s="5" t="s">
        <v>123</v>
      </c>
      <c r="P148" s="1" t="s">
        <v>167</v>
      </c>
      <c r="Q148" s="1" t="s">
        <v>220</v>
      </c>
      <c r="R148" s="1" t="s">
        <v>1132</v>
      </c>
      <c r="S148" s="1" t="s">
        <v>203</v>
      </c>
      <c r="T148" s="2" t="s">
        <v>37</v>
      </c>
    </row>
    <row r="149" spans="1:21" ht="51" x14ac:dyDescent="0.2">
      <c r="A149" s="20" t="s">
        <v>520</v>
      </c>
      <c r="B149" s="6" t="s">
        <v>30</v>
      </c>
      <c r="C149" s="6" t="s">
        <v>280</v>
      </c>
      <c r="D149" s="6" t="s">
        <v>281</v>
      </c>
      <c r="E149" s="6"/>
      <c r="F149" s="6">
        <v>1905</v>
      </c>
      <c r="G149" s="6">
        <v>139</v>
      </c>
      <c r="H149" s="1" t="s">
        <v>74</v>
      </c>
      <c r="I149" s="1" t="s">
        <v>1074</v>
      </c>
      <c r="J149" s="1" t="s">
        <v>42</v>
      </c>
      <c r="K149" s="1" t="s">
        <v>262</v>
      </c>
      <c r="L149" s="1" t="s">
        <v>262</v>
      </c>
      <c r="M149" s="1" t="s">
        <v>41</v>
      </c>
      <c r="N149" s="4" t="s">
        <v>43</v>
      </c>
      <c r="O149" s="5" t="s">
        <v>44</v>
      </c>
      <c r="P149" s="1" t="s">
        <v>167</v>
      </c>
      <c r="Q149" s="1" t="s">
        <v>1219</v>
      </c>
      <c r="R149" s="1" t="s">
        <v>1151</v>
      </c>
      <c r="S149" s="1" t="s">
        <v>0</v>
      </c>
      <c r="T149" s="1" t="s">
        <v>205</v>
      </c>
    </row>
    <row r="150" spans="1:21" ht="34" x14ac:dyDescent="0.2">
      <c r="A150" s="20" t="s">
        <v>521</v>
      </c>
      <c r="B150" s="6" t="s">
        <v>30</v>
      </c>
      <c r="C150" s="6" t="s">
        <v>280</v>
      </c>
      <c r="D150" s="6" t="s">
        <v>281</v>
      </c>
      <c r="E150" s="6"/>
      <c r="F150" s="6">
        <v>1905</v>
      </c>
      <c r="G150" s="6">
        <v>50</v>
      </c>
      <c r="H150" s="1" t="s">
        <v>74</v>
      </c>
      <c r="I150" s="1" t="s">
        <v>1075</v>
      </c>
      <c r="J150" s="1" t="s">
        <v>31</v>
      </c>
      <c r="K150" s="1" t="s">
        <v>262</v>
      </c>
      <c r="L150" s="1" t="s">
        <v>262</v>
      </c>
      <c r="M150" s="1" t="s">
        <v>160</v>
      </c>
      <c r="N150" s="4" t="s">
        <v>181</v>
      </c>
      <c r="O150" s="5" t="s">
        <v>182</v>
      </c>
      <c r="P150" s="1" t="s">
        <v>167</v>
      </c>
      <c r="Q150" s="1" t="s">
        <v>1219</v>
      </c>
      <c r="R150" s="1" t="s">
        <v>1151</v>
      </c>
      <c r="S150" s="1" t="s">
        <v>0</v>
      </c>
      <c r="T150" s="1" t="s">
        <v>205</v>
      </c>
    </row>
    <row r="151" spans="1:21" ht="51" x14ac:dyDescent="0.2">
      <c r="A151" s="20" t="s">
        <v>522</v>
      </c>
      <c r="B151" s="6" t="s">
        <v>30</v>
      </c>
      <c r="C151" s="6" t="s">
        <v>280</v>
      </c>
      <c r="D151" s="6" t="s">
        <v>281</v>
      </c>
      <c r="E151" s="6"/>
      <c r="F151" s="6">
        <v>1905</v>
      </c>
      <c r="G151" s="6">
        <v>102</v>
      </c>
      <c r="H151" s="1" t="s">
        <v>74</v>
      </c>
      <c r="I151" s="1" t="s">
        <v>1076</v>
      </c>
      <c r="K151" s="1" t="s">
        <v>262</v>
      </c>
      <c r="L151" s="1" t="s">
        <v>262</v>
      </c>
      <c r="M151" s="1" t="s">
        <v>33</v>
      </c>
      <c r="P151" s="1" t="s">
        <v>169</v>
      </c>
      <c r="Q151" s="1" t="s">
        <v>169</v>
      </c>
      <c r="R151" s="1" t="s">
        <v>1151</v>
      </c>
      <c r="S151" s="1" t="s">
        <v>0</v>
      </c>
      <c r="T151" s="1" t="s">
        <v>205</v>
      </c>
    </row>
    <row r="152" spans="1:21" ht="34" x14ac:dyDescent="0.2">
      <c r="A152" s="20" t="s">
        <v>523</v>
      </c>
      <c r="B152" s="6" t="s">
        <v>30</v>
      </c>
      <c r="C152" s="6" t="s">
        <v>280</v>
      </c>
      <c r="D152" s="6" t="s">
        <v>281</v>
      </c>
      <c r="E152" s="6"/>
      <c r="F152" s="6">
        <v>1905</v>
      </c>
      <c r="G152" s="6">
        <v>139</v>
      </c>
      <c r="H152" s="1" t="s">
        <v>74</v>
      </c>
      <c r="I152" s="1" t="s">
        <v>1077</v>
      </c>
      <c r="K152" s="1" t="s">
        <v>262</v>
      </c>
      <c r="L152" s="1" t="s">
        <v>262</v>
      </c>
      <c r="M152" s="1" t="s">
        <v>40</v>
      </c>
      <c r="P152" s="1" t="s">
        <v>169</v>
      </c>
      <c r="Q152" s="1" t="s">
        <v>169</v>
      </c>
      <c r="R152" s="1" t="s">
        <v>1151</v>
      </c>
      <c r="S152" s="1" t="s">
        <v>0</v>
      </c>
      <c r="T152" s="1" t="s">
        <v>205</v>
      </c>
    </row>
    <row r="153" spans="1:21" ht="68" x14ac:dyDescent="0.2">
      <c r="A153" s="20" t="s">
        <v>524</v>
      </c>
      <c r="B153" s="6" t="s">
        <v>30</v>
      </c>
      <c r="C153" s="6" t="s">
        <v>280</v>
      </c>
      <c r="D153" s="6" t="s">
        <v>281</v>
      </c>
      <c r="E153" s="6"/>
      <c r="F153" s="6">
        <v>1905</v>
      </c>
      <c r="G153" s="6">
        <v>102</v>
      </c>
      <c r="H153" s="1" t="s">
        <v>74</v>
      </c>
      <c r="I153" s="1" t="s">
        <v>1078</v>
      </c>
      <c r="K153" s="1" t="s">
        <v>262</v>
      </c>
      <c r="L153" s="1" t="s">
        <v>262</v>
      </c>
      <c r="M153" s="1" t="s">
        <v>34</v>
      </c>
      <c r="P153" s="1" t="s">
        <v>169</v>
      </c>
      <c r="Q153" s="1" t="s">
        <v>169</v>
      </c>
      <c r="R153" s="1" t="s">
        <v>1151</v>
      </c>
      <c r="S153" s="1" t="s">
        <v>0</v>
      </c>
      <c r="T153" s="1" t="s">
        <v>205</v>
      </c>
    </row>
    <row r="154" spans="1:21" ht="34" x14ac:dyDescent="0.2">
      <c r="A154" s="20" t="s">
        <v>525</v>
      </c>
      <c r="B154" s="6" t="s">
        <v>30</v>
      </c>
      <c r="C154" s="6" t="s">
        <v>280</v>
      </c>
      <c r="D154" s="6" t="s">
        <v>281</v>
      </c>
      <c r="E154" s="6"/>
      <c r="F154" s="6">
        <v>1905</v>
      </c>
      <c r="G154" s="6">
        <v>103</v>
      </c>
      <c r="H154" s="1" t="s">
        <v>74</v>
      </c>
      <c r="I154" s="4" t="s">
        <v>1079</v>
      </c>
      <c r="K154" s="1" t="s">
        <v>262</v>
      </c>
      <c r="L154" s="1" t="s">
        <v>262</v>
      </c>
      <c r="M154" s="1" t="s">
        <v>35</v>
      </c>
      <c r="P154" s="1" t="s">
        <v>169</v>
      </c>
      <c r="Q154" s="1" t="s">
        <v>169</v>
      </c>
      <c r="R154" s="1" t="s">
        <v>1151</v>
      </c>
      <c r="S154" s="1" t="s">
        <v>0</v>
      </c>
      <c r="T154" s="1" t="s">
        <v>82</v>
      </c>
    </row>
    <row r="155" spans="1:21" ht="51" x14ac:dyDescent="0.2">
      <c r="A155" s="20" t="s">
        <v>526</v>
      </c>
      <c r="B155" s="6" t="s">
        <v>30</v>
      </c>
      <c r="C155" s="6" t="s">
        <v>280</v>
      </c>
      <c r="D155" s="6" t="s">
        <v>281</v>
      </c>
      <c r="E155" s="6"/>
      <c r="F155" s="6">
        <v>1905</v>
      </c>
      <c r="G155" s="6">
        <v>102</v>
      </c>
      <c r="H155" s="1" t="s">
        <v>74</v>
      </c>
      <c r="I155" s="1" t="s">
        <v>1080</v>
      </c>
      <c r="J155" s="1" t="s">
        <v>38</v>
      </c>
      <c r="K155" s="1" t="s">
        <v>262</v>
      </c>
      <c r="L155" s="1" t="s">
        <v>262</v>
      </c>
      <c r="M155" s="1" t="s">
        <v>32</v>
      </c>
      <c r="N155" s="4" t="s">
        <v>225</v>
      </c>
      <c r="O155" s="5" t="s">
        <v>226</v>
      </c>
      <c r="P155" s="1" t="s">
        <v>1247</v>
      </c>
      <c r="Q155" s="1" t="s">
        <v>1219</v>
      </c>
      <c r="R155" s="1" t="s">
        <v>1151</v>
      </c>
      <c r="S155" s="1" t="s">
        <v>0</v>
      </c>
      <c r="T155" s="1" t="s">
        <v>205</v>
      </c>
    </row>
    <row r="156" spans="1:21" ht="51" x14ac:dyDescent="0.2">
      <c r="A156" s="20" t="s">
        <v>527</v>
      </c>
      <c r="B156" s="6" t="s">
        <v>30</v>
      </c>
      <c r="C156" s="6" t="s">
        <v>280</v>
      </c>
      <c r="D156" s="6" t="s">
        <v>281</v>
      </c>
      <c r="E156" s="6"/>
      <c r="F156" s="6">
        <v>1905</v>
      </c>
      <c r="G156" s="6">
        <v>94</v>
      </c>
      <c r="H156" s="1" t="s">
        <v>74</v>
      </c>
      <c r="I156" s="1" t="s">
        <v>1081</v>
      </c>
      <c r="K156" s="1" t="s">
        <v>583</v>
      </c>
      <c r="L156" s="1" t="s">
        <v>1256</v>
      </c>
      <c r="M156" s="1" t="s">
        <v>77</v>
      </c>
      <c r="N156" s="4" t="s">
        <v>78</v>
      </c>
      <c r="O156" s="5" t="s">
        <v>79</v>
      </c>
      <c r="P156" s="1" t="s">
        <v>167</v>
      </c>
      <c r="Q156" s="1" t="s">
        <v>1219</v>
      </c>
      <c r="R156" s="1" t="s">
        <v>1151</v>
      </c>
      <c r="S156" s="1" t="s">
        <v>0</v>
      </c>
      <c r="T156" s="2" t="s">
        <v>82</v>
      </c>
      <c r="U156" s="2" t="s">
        <v>600</v>
      </c>
    </row>
    <row r="157" spans="1:21" ht="34" x14ac:dyDescent="0.2">
      <c r="A157" s="20" t="s">
        <v>528</v>
      </c>
      <c r="B157" s="6" t="s">
        <v>30</v>
      </c>
      <c r="C157" s="6" t="s">
        <v>280</v>
      </c>
      <c r="D157" s="6" t="s">
        <v>281</v>
      </c>
      <c r="E157" s="6"/>
      <c r="F157" s="6">
        <v>1905</v>
      </c>
      <c r="G157" s="6">
        <v>139</v>
      </c>
      <c r="H157" s="1" t="s">
        <v>74</v>
      </c>
      <c r="I157" s="1" t="s">
        <v>1077</v>
      </c>
      <c r="K157" s="1" t="s">
        <v>262</v>
      </c>
      <c r="L157" s="47" t="s">
        <v>262</v>
      </c>
      <c r="M157" s="1" t="s">
        <v>39</v>
      </c>
      <c r="P157" s="1" t="s">
        <v>169</v>
      </c>
      <c r="Q157" s="1" t="s">
        <v>169</v>
      </c>
      <c r="R157" s="1" t="s">
        <v>1151</v>
      </c>
      <c r="S157" s="1" t="s">
        <v>0</v>
      </c>
      <c r="T157" s="1" t="s">
        <v>205</v>
      </c>
    </row>
    <row r="158" spans="1:21" ht="34" x14ac:dyDescent="0.2">
      <c r="A158" s="20" t="s">
        <v>529</v>
      </c>
      <c r="B158" s="6" t="s">
        <v>30</v>
      </c>
      <c r="C158" s="6" t="s">
        <v>280</v>
      </c>
      <c r="D158" s="6" t="s">
        <v>281</v>
      </c>
      <c r="E158" s="6"/>
      <c r="F158" s="6">
        <v>1905</v>
      </c>
      <c r="G158" s="6">
        <v>103</v>
      </c>
      <c r="H158" s="1" t="s">
        <v>74</v>
      </c>
      <c r="I158" s="1" t="s">
        <v>1082</v>
      </c>
      <c r="J158" s="1" t="s">
        <v>593</v>
      </c>
      <c r="K158" s="1" t="s">
        <v>262</v>
      </c>
      <c r="L158" s="1" t="s">
        <v>262</v>
      </c>
      <c r="M158" s="1" t="s">
        <v>1270</v>
      </c>
      <c r="N158" s="4" t="s">
        <v>332</v>
      </c>
      <c r="O158" s="5" t="s">
        <v>331</v>
      </c>
      <c r="P158" s="1" t="s">
        <v>167</v>
      </c>
      <c r="Q158" s="1" t="s">
        <v>1219</v>
      </c>
      <c r="R158" s="1" t="s">
        <v>1151</v>
      </c>
      <c r="S158" s="1" t="s">
        <v>0</v>
      </c>
      <c r="T158" s="1" t="s">
        <v>205</v>
      </c>
    </row>
    <row r="159" spans="1:21" ht="51" x14ac:dyDescent="0.2">
      <c r="A159" s="20" t="s">
        <v>530</v>
      </c>
      <c r="B159" s="2" t="s">
        <v>156</v>
      </c>
      <c r="C159" s="2" t="s">
        <v>276</v>
      </c>
      <c r="D159" s="2" t="s">
        <v>277</v>
      </c>
      <c r="F159" s="2">
        <v>1988</v>
      </c>
      <c r="G159" s="2">
        <v>125</v>
      </c>
      <c r="H159" s="1" t="s">
        <v>157</v>
      </c>
      <c r="I159" s="1" t="s">
        <v>1083</v>
      </c>
      <c r="K159" s="1" t="s">
        <v>581</v>
      </c>
      <c r="L159" s="43" t="s">
        <v>1197</v>
      </c>
      <c r="M159" s="1" t="s">
        <v>104</v>
      </c>
      <c r="N159" s="4" t="s">
        <v>187</v>
      </c>
      <c r="O159" s="5" t="s">
        <v>188</v>
      </c>
      <c r="P159" s="1" t="s">
        <v>167</v>
      </c>
      <c r="Q159" s="1" t="s">
        <v>1219</v>
      </c>
      <c r="R159" s="1" t="s">
        <v>1131</v>
      </c>
      <c r="S159" s="2" t="s">
        <v>66</v>
      </c>
      <c r="T159" s="2" t="s">
        <v>66</v>
      </c>
    </row>
    <row r="160" spans="1:21" ht="153" x14ac:dyDescent="0.2">
      <c r="A160" s="20" t="s">
        <v>531</v>
      </c>
      <c r="B160" s="2" t="s">
        <v>156</v>
      </c>
      <c r="C160" s="2" t="s">
        <v>276</v>
      </c>
      <c r="D160" s="2" t="s">
        <v>277</v>
      </c>
      <c r="F160" s="2">
        <v>1988</v>
      </c>
      <c r="G160" s="2">
        <v>62</v>
      </c>
      <c r="H160" s="1" t="s">
        <v>157</v>
      </c>
      <c r="I160" s="1" t="s">
        <v>1084</v>
      </c>
      <c r="K160" s="1" t="s">
        <v>581</v>
      </c>
      <c r="L160" s="43" t="s">
        <v>1197</v>
      </c>
      <c r="M160" s="1" t="s">
        <v>36</v>
      </c>
      <c r="N160" s="8" t="s">
        <v>12</v>
      </c>
      <c r="O160" s="9">
        <v>146.85613215622399</v>
      </c>
      <c r="P160" s="10" t="s">
        <v>167</v>
      </c>
      <c r="Q160" s="1" t="s">
        <v>1219</v>
      </c>
      <c r="R160" s="1" t="s">
        <v>1139</v>
      </c>
      <c r="S160" s="1" t="s">
        <v>203</v>
      </c>
      <c r="T160" s="2" t="s">
        <v>90</v>
      </c>
    </row>
    <row r="161" spans="1:22" ht="51" x14ac:dyDescent="0.2">
      <c r="A161" s="20" t="s">
        <v>532</v>
      </c>
      <c r="B161" s="2" t="s">
        <v>156</v>
      </c>
      <c r="C161" s="2" t="s">
        <v>276</v>
      </c>
      <c r="D161" s="2" t="s">
        <v>277</v>
      </c>
      <c r="F161" s="2">
        <v>1988</v>
      </c>
      <c r="G161" s="2">
        <v>126</v>
      </c>
      <c r="H161" s="1" t="s">
        <v>157</v>
      </c>
      <c r="I161" s="1" t="s">
        <v>1085</v>
      </c>
      <c r="K161" s="1" t="s">
        <v>262</v>
      </c>
      <c r="L161" s="1" t="s">
        <v>262</v>
      </c>
      <c r="M161" s="1" t="s">
        <v>36</v>
      </c>
      <c r="N161" s="8" t="s">
        <v>12</v>
      </c>
      <c r="O161" s="9">
        <v>146.85613215622399</v>
      </c>
      <c r="P161" s="10" t="s">
        <v>167</v>
      </c>
      <c r="Q161" s="1" t="s">
        <v>1219</v>
      </c>
      <c r="R161" s="1" t="s">
        <v>1151</v>
      </c>
      <c r="S161" s="1" t="s">
        <v>0</v>
      </c>
      <c r="T161" s="2" t="s">
        <v>205</v>
      </c>
    </row>
    <row r="162" spans="1:22" ht="136" x14ac:dyDescent="0.2">
      <c r="A162" s="20" t="s">
        <v>533</v>
      </c>
      <c r="B162" s="2" t="s">
        <v>156</v>
      </c>
      <c r="C162" s="2" t="s">
        <v>276</v>
      </c>
      <c r="D162" s="2" t="s">
        <v>277</v>
      </c>
      <c r="F162" s="2">
        <v>1988</v>
      </c>
      <c r="G162" s="2">
        <v>128</v>
      </c>
      <c r="H162" s="1" t="s">
        <v>157</v>
      </c>
      <c r="I162" s="1" t="s">
        <v>1086</v>
      </c>
      <c r="K162" s="1" t="s">
        <v>262</v>
      </c>
      <c r="L162" s="1" t="s">
        <v>262</v>
      </c>
      <c r="M162" s="1" t="s">
        <v>36</v>
      </c>
      <c r="N162" s="8" t="s">
        <v>12</v>
      </c>
      <c r="O162" s="9">
        <v>146.85613215622399</v>
      </c>
      <c r="P162" s="10" t="s">
        <v>167</v>
      </c>
      <c r="Q162" s="1" t="s">
        <v>1219</v>
      </c>
      <c r="R162" s="1" t="s">
        <v>1151</v>
      </c>
      <c r="S162" s="1" t="s">
        <v>0</v>
      </c>
      <c r="T162" s="2" t="s">
        <v>205</v>
      </c>
    </row>
    <row r="163" spans="1:22" ht="51" x14ac:dyDescent="0.2">
      <c r="A163" s="20" t="s">
        <v>534</v>
      </c>
      <c r="B163" s="2" t="s">
        <v>156</v>
      </c>
      <c r="C163" s="2" t="s">
        <v>276</v>
      </c>
      <c r="D163" s="2" t="s">
        <v>277</v>
      </c>
      <c r="F163" s="2">
        <v>1988</v>
      </c>
      <c r="G163" s="2">
        <v>79</v>
      </c>
      <c r="H163" s="1" t="s">
        <v>157</v>
      </c>
      <c r="I163" s="1" t="s">
        <v>1087</v>
      </c>
      <c r="K163" s="1" t="s">
        <v>583</v>
      </c>
      <c r="L163" s="1" t="s">
        <v>1256</v>
      </c>
      <c r="M163" s="1" t="s">
        <v>121</v>
      </c>
      <c r="N163" s="4" t="s">
        <v>122</v>
      </c>
      <c r="O163" s="5" t="s">
        <v>123</v>
      </c>
      <c r="P163" s="1" t="s">
        <v>167</v>
      </c>
      <c r="Q163" s="1" t="s">
        <v>220</v>
      </c>
      <c r="R163" s="1" t="s">
        <v>1151</v>
      </c>
      <c r="S163" s="2" t="s">
        <v>247</v>
      </c>
      <c r="T163" s="2" t="s">
        <v>137</v>
      </c>
    </row>
    <row r="164" spans="1:22" ht="136" x14ac:dyDescent="0.2">
      <c r="A164" s="20" t="s">
        <v>535</v>
      </c>
      <c r="B164" s="2" t="s">
        <v>156</v>
      </c>
      <c r="C164" s="2" t="s">
        <v>276</v>
      </c>
      <c r="D164" s="2" t="s">
        <v>277</v>
      </c>
      <c r="F164" s="2">
        <v>1988</v>
      </c>
      <c r="G164" s="2">
        <v>130</v>
      </c>
      <c r="H164" s="1" t="s">
        <v>157</v>
      </c>
      <c r="I164" s="1" t="s">
        <v>1088</v>
      </c>
      <c r="K164" s="1">
        <v>1890</v>
      </c>
      <c r="L164" s="1" t="s">
        <v>1191</v>
      </c>
      <c r="M164" s="1" t="s">
        <v>121</v>
      </c>
      <c r="N164" s="4" t="s">
        <v>122</v>
      </c>
      <c r="O164" s="5" t="s">
        <v>123</v>
      </c>
      <c r="P164" s="1" t="s">
        <v>167</v>
      </c>
      <c r="Q164" s="1" t="s">
        <v>220</v>
      </c>
      <c r="R164" s="1" t="s">
        <v>1151</v>
      </c>
      <c r="S164" s="1" t="s">
        <v>0</v>
      </c>
      <c r="T164" s="2" t="s">
        <v>82</v>
      </c>
    </row>
    <row r="165" spans="1:22" ht="68" x14ac:dyDescent="0.2">
      <c r="A165" s="20" t="s">
        <v>536</v>
      </c>
      <c r="B165" s="2" t="s">
        <v>156</v>
      </c>
      <c r="C165" s="2" t="s">
        <v>276</v>
      </c>
      <c r="D165" s="2" t="s">
        <v>277</v>
      </c>
      <c r="F165" s="2">
        <v>1988</v>
      </c>
      <c r="G165" s="2">
        <v>123</v>
      </c>
      <c r="H165" s="1" t="s">
        <v>157</v>
      </c>
      <c r="I165" s="1" t="s">
        <v>1089</v>
      </c>
      <c r="K165" s="1" t="s">
        <v>581</v>
      </c>
      <c r="L165" s="1" t="s">
        <v>1197</v>
      </c>
      <c r="M165" s="1" t="s">
        <v>133</v>
      </c>
      <c r="P165" s="1" t="s">
        <v>169</v>
      </c>
      <c r="Q165" s="1" t="s">
        <v>169</v>
      </c>
      <c r="R165" s="1" t="s">
        <v>1131</v>
      </c>
      <c r="S165" s="2" t="s">
        <v>66</v>
      </c>
      <c r="T165" s="2" t="s">
        <v>66</v>
      </c>
    </row>
    <row r="166" spans="1:22" ht="51" x14ac:dyDescent="0.2">
      <c r="A166" s="20" t="s">
        <v>537</v>
      </c>
      <c r="B166" s="2" t="s">
        <v>156</v>
      </c>
      <c r="C166" s="2" t="s">
        <v>276</v>
      </c>
      <c r="D166" s="2" t="s">
        <v>277</v>
      </c>
      <c r="F166" s="2">
        <v>1988</v>
      </c>
      <c r="G166" s="2">
        <v>132</v>
      </c>
      <c r="H166" s="1" t="s">
        <v>157</v>
      </c>
      <c r="I166" s="1" t="s">
        <v>1090</v>
      </c>
      <c r="K166" s="1" t="s">
        <v>583</v>
      </c>
      <c r="L166" s="1" t="s">
        <v>1256</v>
      </c>
      <c r="M166" s="1" t="s">
        <v>125</v>
      </c>
      <c r="N166" s="5" t="s">
        <v>126</v>
      </c>
      <c r="O166" s="5" t="s">
        <v>127</v>
      </c>
      <c r="P166" s="1" t="s">
        <v>1246</v>
      </c>
      <c r="Q166" s="1" t="s">
        <v>1219</v>
      </c>
      <c r="R166" s="1" t="s">
        <v>1151</v>
      </c>
      <c r="S166" s="1" t="s">
        <v>0</v>
      </c>
      <c r="T166" s="2" t="s">
        <v>82</v>
      </c>
    </row>
    <row r="167" spans="1:22" ht="51" x14ac:dyDescent="0.2">
      <c r="A167" s="20" t="s">
        <v>538</v>
      </c>
      <c r="B167" s="2" t="s">
        <v>156</v>
      </c>
      <c r="C167" s="2" t="s">
        <v>276</v>
      </c>
      <c r="D167" s="2" t="s">
        <v>277</v>
      </c>
      <c r="F167" s="2">
        <v>1988</v>
      </c>
      <c r="G167" s="2">
        <v>126</v>
      </c>
      <c r="H167" s="1" t="s">
        <v>157</v>
      </c>
      <c r="I167" s="1" t="s">
        <v>1091</v>
      </c>
      <c r="K167" s="1">
        <v>1850</v>
      </c>
      <c r="L167" s="1" t="s">
        <v>1189</v>
      </c>
      <c r="M167" s="1" t="s">
        <v>160</v>
      </c>
      <c r="N167" s="4" t="s">
        <v>181</v>
      </c>
      <c r="O167" s="5" t="s">
        <v>182</v>
      </c>
      <c r="P167" s="1" t="s">
        <v>167</v>
      </c>
      <c r="Q167" s="1" t="s">
        <v>1219</v>
      </c>
      <c r="R167" s="1" t="s">
        <v>1151</v>
      </c>
      <c r="S167" s="1" t="s">
        <v>0</v>
      </c>
      <c r="T167" s="2" t="s">
        <v>205</v>
      </c>
    </row>
    <row r="168" spans="1:22" ht="85" x14ac:dyDescent="0.2">
      <c r="A168" s="20" t="s">
        <v>539</v>
      </c>
      <c r="B168" s="2" t="s">
        <v>156</v>
      </c>
      <c r="C168" s="2" t="s">
        <v>276</v>
      </c>
      <c r="D168" s="2" t="s">
        <v>277</v>
      </c>
      <c r="F168" s="2">
        <v>1988</v>
      </c>
      <c r="G168" s="2">
        <v>128</v>
      </c>
      <c r="H168" s="1" t="s">
        <v>157</v>
      </c>
      <c r="I168" s="1" t="s">
        <v>1092</v>
      </c>
      <c r="K168" s="1" t="s">
        <v>262</v>
      </c>
      <c r="L168" s="1" t="s">
        <v>262</v>
      </c>
      <c r="M168" s="1" t="s">
        <v>160</v>
      </c>
      <c r="N168" s="4" t="s">
        <v>181</v>
      </c>
      <c r="O168" s="5" t="s">
        <v>182</v>
      </c>
      <c r="P168" s="1" t="s">
        <v>167</v>
      </c>
      <c r="Q168" s="1" t="s">
        <v>1219</v>
      </c>
      <c r="R168" s="1" t="s">
        <v>1151</v>
      </c>
      <c r="S168" s="1" t="s">
        <v>0</v>
      </c>
      <c r="T168" s="2" t="s">
        <v>205</v>
      </c>
    </row>
    <row r="169" spans="1:22" ht="68" x14ac:dyDescent="0.2">
      <c r="A169" s="20" t="s">
        <v>540</v>
      </c>
      <c r="B169" s="2" t="s">
        <v>156</v>
      </c>
      <c r="C169" s="2" t="s">
        <v>276</v>
      </c>
      <c r="D169" s="2" t="s">
        <v>277</v>
      </c>
      <c r="F169" s="2">
        <v>1988</v>
      </c>
      <c r="G169" s="2">
        <v>132</v>
      </c>
      <c r="H169" s="1" t="s">
        <v>157</v>
      </c>
      <c r="I169" s="1" t="s">
        <v>1093</v>
      </c>
      <c r="K169" s="1" t="s">
        <v>583</v>
      </c>
      <c r="L169" s="1" t="s">
        <v>1256</v>
      </c>
      <c r="M169" s="1" t="s">
        <v>160</v>
      </c>
      <c r="N169" s="4" t="s">
        <v>181</v>
      </c>
      <c r="O169" s="5" t="s">
        <v>182</v>
      </c>
      <c r="P169" s="1" t="s">
        <v>167</v>
      </c>
      <c r="Q169" s="1" t="s">
        <v>1219</v>
      </c>
      <c r="R169" s="1" t="s">
        <v>1151</v>
      </c>
      <c r="S169" s="1" t="s">
        <v>0</v>
      </c>
      <c r="T169" s="2" t="s">
        <v>76</v>
      </c>
      <c r="U169" s="2" t="s">
        <v>600</v>
      </c>
    </row>
    <row r="170" spans="1:22" ht="51" x14ac:dyDescent="0.2">
      <c r="A170" s="20" t="s">
        <v>541</v>
      </c>
      <c r="B170" s="2" t="s">
        <v>156</v>
      </c>
      <c r="C170" s="2" t="s">
        <v>276</v>
      </c>
      <c r="D170" s="2" t="s">
        <v>277</v>
      </c>
      <c r="F170" s="2">
        <v>1988</v>
      </c>
      <c r="G170" s="2">
        <v>62</v>
      </c>
      <c r="H170" s="1" t="s">
        <v>157</v>
      </c>
      <c r="I170" s="1" t="s">
        <v>1094</v>
      </c>
      <c r="K170" s="1" t="s">
        <v>262</v>
      </c>
      <c r="L170" s="1" t="s">
        <v>262</v>
      </c>
      <c r="M170" s="1" t="s">
        <v>128</v>
      </c>
      <c r="N170" s="4" t="s">
        <v>129</v>
      </c>
      <c r="O170" s="5" t="s">
        <v>223</v>
      </c>
      <c r="P170" s="1" t="s">
        <v>167</v>
      </c>
      <c r="Q170" s="1" t="s">
        <v>1219</v>
      </c>
      <c r="R170" s="1" t="s">
        <v>1151</v>
      </c>
      <c r="S170" s="1" t="s">
        <v>0</v>
      </c>
      <c r="T170" s="2" t="s">
        <v>205</v>
      </c>
    </row>
    <row r="171" spans="1:22" ht="68" x14ac:dyDescent="0.2">
      <c r="A171" s="20" t="s">
        <v>542</v>
      </c>
      <c r="B171" s="2" t="s">
        <v>156</v>
      </c>
      <c r="C171" s="2" t="s">
        <v>276</v>
      </c>
      <c r="D171" s="2" t="s">
        <v>277</v>
      </c>
      <c r="F171" s="2">
        <v>1988</v>
      </c>
      <c r="G171" s="2">
        <v>132</v>
      </c>
      <c r="H171" s="1" t="s">
        <v>157</v>
      </c>
      <c r="I171" s="1" t="s">
        <v>1093</v>
      </c>
      <c r="K171" s="1" t="s">
        <v>583</v>
      </c>
      <c r="L171" s="1" t="s">
        <v>1256</v>
      </c>
      <c r="M171" s="1" t="s">
        <v>128</v>
      </c>
      <c r="N171" s="4" t="s">
        <v>129</v>
      </c>
      <c r="O171" s="5" t="s">
        <v>223</v>
      </c>
      <c r="P171" s="1" t="s">
        <v>167</v>
      </c>
      <c r="Q171" s="1" t="s">
        <v>1219</v>
      </c>
      <c r="R171" s="1" t="s">
        <v>1151</v>
      </c>
      <c r="S171" s="1" t="s">
        <v>0</v>
      </c>
      <c r="T171" s="2" t="s">
        <v>76</v>
      </c>
      <c r="U171" s="2" t="s">
        <v>600</v>
      </c>
      <c r="V171" s="2" t="s">
        <v>82</v>
      </c>
    </row>
    <row r="172" spans="1:22" ht="119" x14ac:dyDescent="0.2">
      <c r="A172" s="20" t="s">
        <v>543</v>
      </c>
      <c r="B172" s="2" t="s">
        <v>156</v>
      </c>
      <c r="C172" s="2" t="s">
        <v>276</v>
      </c>
      <c r="D172" s="2" t="s">
        <v>277</v>
      </c>
      <c r="F172" s="2">
        <v>1988</v>
      </c>
      <c r="G172" s="2">
        <v>74</v>
      </c>
      <c r="H172" s="1" t="s">
        <v>157</v>
      </c>
      <c r="I172" s="1" t="s">
        <v>1096</v>
      </c>
      <c r="K172" s="1">
        <v>1859</v>
      </c>
      <c r="L172" s="1" t="s">
        <v>1189</v>
      </c>
      <c r="M172" s="1" t="s">
        <v>63</v>
      </c>
      <c r="N172" s="4" t="s">
        <v>64</v>
      </c>
      <c r="O172" s="5" t="s">
        <v>65</v>
      </c>
      <c r="P172" s="1" t="s">
        <v>167</v>
      </c>
      <c r="Q172" s="1" t="s">
        <v>1218</v>
      </c>
      <c r="R172" s="1" t="s">
        <v>1131</v>
      </c>
      <c r="S172" s="2" t="s">
        <v>66</v>
      </c>
      <c r="T172" s="2" t="s">
        <v>66</v>
      </c>
    </row>
    <row r="173" spans="1:22" ht="134" customHeight="1" x14ac:dyDescent="0.2">
      <c r="A173" s="20" t="s">
        <v>544</v>
      </c>
      <c r="B173" s="2" t="s">
        <v>156</v>
      </c>
      <c r="C173" s="2" t="s">
        <v>276</v>
      </c>
      <c r="D173" s="2" t="s">
        <v>277</v>
      </c>
      <c r="F173" s="2">
        <v>1988</v>
      </c>
      <c r="G173" s="2">
        <v>124</v>
      </c>
      <c r="H173" s="1" t="s">
        <v>157</v>
      </c>
      <c r="I173" s="1" t="s">
        <v>1097</v>
      </c>
      <c r="K173" s="1">
        <v>1859</v>
      </c>
      <c r="L173" s="1" t="s">
        <v>1189</v>
      </c>
      <c r="M173" s="1" t="s">
        <v>63</v>
      </c>
      <c r="N173" s="4" t="s">
        <v>64</v>
      </c>
      <c r="O173" s="5" t="s">
        <v>65</v>
      </c>
      <c r="P173" s="1" t="s">
        <v>167</v>
      </c>
      <c r="Q173" s="1" t="s">
        <v>1218</v>
      </c>
      <c r="R173" s="1" t="s">
        <v>1131</v>
      </c>
      <c r="S173" s="2" t="s">
        <v>66</v>
      </c>
      <c r="T173" s="2" t="s">
        <v>66</v>
      </c>
    </row>
    <row r="174" spans="1:22" ht="82" customHeight="1" x14ac:dyDescent="0.2">
      <c r="A174" s="20" t="s">
        <v>545</v>
      </c>
      <c r="B174" s="2" t="s">
        <v>156</v>
      </c>
      <c r="C174" s="2" t="s">
        <v>276</v>
      </c>
      <c r="D174" s="2" t="s">
        <v>277</v>
      </c>
      <c r="F174" s="2">
        <v>1988</v>
      </c>
      <c r="G174" s="2">
        <v>126</v>
      </c>
      <c r="H174" s="1" t="s">
        <v>157</v>
      </c>
      <c r="I174" s="1" t="s">
        <v>1098</v>
      </c>
      <c r="J174" s="1" t="s">
        <v>594</v>
      </c>
      <c r="K174" s="1" t="s">
        <v>583</v>
      </c>
      <c r="L174" s="1" t="s">
        <v>1256</v>
      </c>
      <c r="M174" s="1" t="s">
        <v>166</v>
      </c>
      <c r="N174" s="4" t="s">
        <v>122</v>
      </c>
      <c r="O174" s="5" t="s">
        <v>123</v>
      </c>
      <c r="P174" s="1" t="s">
        <v>167</v>
      </c>
      <c r="Q174" s="1" t="s">
        <v>1219</v>
      </c>
      <c r="R174" s="1" t="s">
        <v>1151</v>
      </c>
      <c r="S174" s="2" t="s">
        <v>0</v>
      </c>
      <c r="T174" s="2" t="s">
        <v>205</v>
      </c>
    </row>
    <row r="175" spans="1:22" ht="51" x14ac:dyDescent="0.2">
      <c r="A175" s="20" t="s">
        <v>546</v>
      </c>
      <c r="B175" s="2" t="s">
        <v>156</v>
      </c>
      <c r="C175" s="2" t="s">
        <v>276</v>
      </c>
      <c r="D175" s="2" t="s">
        <v>277</v>
      </c>
      <c r="F175" s="2">
        <v>1988</v>
      </c>
      <c r="G175" s="2">
        <v>4</v>
      </c>
      <c r="H175" s="1" t="s">
        <v>157</v>
      </c>
      <c r="I175" s="1" t="s">
        <v>1099</v>
      </c>
      <c r="K175" s="1" t="s">
        <v>583</v>
      </c>
      <c r="L175" s="1" t="s">
        <v>1256</v>
      </c>
      <c r="M175" s="1" t="s">
        <v>159</v>
      </c>
      <c r="N175" s="4" t="s">
        <v>179</v>
      </c>
      <c r="O175" s="5" t="s">
        <v>180</v>
      </c>
      <c r="P175" s="1" t="s">
        <v>1246</v>
      </c>
      <c r="Q175" s="1" t="s">
        <v>1219</v>
      </c>
      <c r="R175" s="1" t="s">
        <v>1151</v>
      </c>
      <c r="S175" s="2" t="s">
        <v>203</v>
      </c>
      <c r="T175" s="2" t="s">
        <v>135</v>
      </c>
    </row>
    <row r="176" spans="1:22" ht="102" x14ac:dyDescent="0.2">
      <c r="A176" s="20" t="s">
        <v>547</v>
      </c>
      <c r="B176" s="2" t="s">
        <v>156</v>
      </c>
      <c r="C176" s="2" t="s">
        <v>276</v>
      </c>
      <c r="D176" s="2" t="s">
        <v>277</v>
      </c>
      <c r="F176" s="2">
        <v>1988</v>
      </c>
      <c r="G176" s="2">
        <v>62</v>
      </c>
      <c r="H176" s="1" t="s">
        <v>157</v>
      </c>
      <c r="I176" s="1" t="s">
        <v>1100</v>
      </c>
      <c r="K176" s="1" t="s">
        <v>262</v>
      </c>
      <c r="L176" s="1" t="s">
        <v>262</v>
      </c>
      <c r="M176" s="1" t="s">
        <v>29</v>
      </c>
      <c r="N176" s="4" t="s">
        <v>11</v>
      </c>
      <c r="O176" s="5">
        <v>147.321425002133</v>
      </c>
      <c r="P176" s="1" t="s">
        <v>167</v>
      </c>
      <c r="Q176" s="1" t="s">
        <v>1219</v>
      </c>
      <c r="R176" s="1" t="s">
        <v>1151</v>
      </c>
      <c r="S176" s="1" t="s">
        <v>0</v>
      </c>
      <c r="T176" s="2" t="s">
        <v>205</v>
      </c>
    </row>
    <row r="177" spans="1:22" ht="51" x14ac:dyDescent="0.2">
      <c r="A177" s="20" t="s">
        <v>548</v>
      </c>
      <c r="B177" s="2" t="s">
        <v>156</v>
      </c>
      <c r="C177" s="2" t="s">
        <v>276</v>
      </c>
      <c r="D177" s="2" t="s">
        <v>277</v>
      </c>
      <c r="F177" s="2">
        <v>1988</v>
      </c>
      <c r="G177" s="2">
        <v>1</v>
      </c>
      <c r="H177" s="1" t="s">
        <v>157</v>
      </c>
      <c r="I177" s="1" t="s">
        <v>1101</v>
      </c>
      <c r="K177" s="1">
        <v>1900</v>
      </c>
      <c r="L177" s="1">
        <v>1900</v>
      </c>
      <c r="M177" s="1" t="s">
        <v>158</v>
      </c>
      <c r="N177" s="4" t="s">
        <v>177</v>
      </c>
      <c r="O177" s="5" t="s">
        <v>178</v>
      </c>
      <c r="P177" s="1" t="s">
        <v>1246</v>
      </c>
      <c r="Q177" s="1" t="s">
        <v>1219</v>
      </c>
      <c r="R177" s="1" t="s">
        <v>1134</v>
      </c>
      <c r="S177" s="2" t="s">
        <v>203</v>
      </c>
      <c r="T177" s="2" t="s">
        <v>51</v>
      </c>
    </row>
    <row r="178" spans="1:22" ht="51" x14ac:dyDescent="0.2">
      <c r="A178" s="20" t="s">
        <v>549</v>
      </c>
      <c r="B178" s="2" t="s">
        <v>156</v>
      </c>
      <c r="C178" s="2" t="s">
        <v>276</v>
      </c>
      <c r="D178" s="2" t="s">
        <v>277</v>
      </c>
      <c r="F178" s="2">
        <v>1988</v>
      </c>
      <c r="G178" s="2">
        <v>62</v>
      </c>
      <c r="H178" s="1" t="s">
        <v>157</v>
      </c>
      <c r="I178" s="1" t="s">
        <v>1094</v>
      </c>
      <c r="K178" s="1" t="s">
        <v>262</v>
      </c>
      <c r="L178" s="1" t="s">
        <v>262</v>
      </c>
      <c r="M178" s="1" t="s">
        <v>165</v>
      </c>
      <c r="N178" s="4" t="s">
        <v>185</v>
      </c>
      <c r="O178" s="5" t="s">
        <v>186</v>
      </c>
      <c r="P178" s="1" t="s">
        <v>167</v>
      </c>
      <c r="Q178" s="1" t="s">
        <v>1219</v>
      </c>
      <c r="R178" s="1" t="s">
        <v>1151</v>
      </c>
      <c r="S178" s="1" t="s">
        <v>0</v>
      </c>
      <c r="T178" s="2" t="s">
        <v>205</v>
      </c>
    </row>
    <row r="179" spans="1:22" ht="34" x14ac:dyDescent="0.2">
      <c r="A179" s="20" t="s">
        <v>550</v>
      </c>
      <c r="B179" s="2" t="s">
        <v>156</v>
      </c>
      <c r="C179" s="2" t="s">
        <v>276</v>
      </c>
      <c r="D179" s="2" t="s">
        <v>277</v>
      </c>
      <c r="F179" s="2">
        <v>1988</v>
      </c>
      <c r="G179" s="2">
        <v>30</v>
      </c>
      <c r="H179" s="1" t="s">
        <v>157</v>
      </c>
      <c r="I179" s="1" t="s">
        <v>164</v>
      </c>
      <c r="K179" s="1" t="s">
        <v>263</v>
      </c>
      <c r="L179" s="1" t="s">
        <v>1256</v>
      </c>
      <c r="M179" s="1" t="s">
        <v>150</v>
      </c>
      <c r="N179" s="4" t="s">
        <v>175</v>
      </c>
      <c r="O179" s="5" t="s">
        <v>176</v>
      </c>
      <c r="P179" s="1" t="s">
        <v>167</v>
      </c>
      <c r="Q179" s="1" t="s">
        <v>1219</v>
      </c>
      <c r="R179" s="1" t="s">
        <v>1135</v>
      </c>
      <c r="S179" s="2" t="s">
        <v>3</v>
      </c>
      <c r="T179" s="2" t="s">
        <v>3</v>
      </c>
    </row>
    <row r="180" spans="1:22" ht="34" x14ac:dyDescent="0.2">
      <c r="A180" s="20" t="s">
        <v>551</v>
      </c>
      <c r="B180" s="2" t="s">
        <v>156</v>
      </c>
      <c r="C180" s="2" t="s">
        <v>276</v>
      </c>
      <c r="D180" s="2" t="s">
        <v>277</v>
      </c>
      <c r="F180" s="2">
        <v>1988</v>
      </c>
      <c r="G180" s="2">
        <v>30</v>
      </c>
      <c r="H180" s="1" t="s">
        <v>157</v>
      </c>
      <c r="I180" s="1" t="s">
        <v>162</v>
      </c>
      <c r="K180" s="1" t="s">
        <v>263</v>
      </c>
      <c r="L180" s="1" t="s">
        <v>1256</v>
      </c>
      <c r="M180" s="1" t="s">
        <v>163</v>
      </c>
      <c r="P180" s="1" t="s">
        <v>169</v>
      </c>
      <c r="Q180" s="1" t="s">
        <v>169</v>
      </c>
      <c r="R180" s="1" t="s">
        <v>1135</v>
      </c>
      <c r="S180" s="2" t="s">
        <v>3</v>
      </c>
      <c r="T180" s="2" t="s">
        <v>3</v>
      </c>
    </row>
    <row r="181" spans="1:22" ht="102" x14ac:dyDescent="0.2">
      <c r="A181" s="20" t="s">
        <v>552</v>
      </c>
      <c r="B181" s="2" t="s">
        <v>152</v>
      </c>
      <c r="C181" s="6" t="s">
        <v>263</v>
      </c>
      <c r="D181" s="1" t="s">
        <v>263</v>
      </c>
      <c r="E181" s="1" t="s">
        <v>143</v>
      </c>
      <c r="F181" s="2">
        <v>1885</v>
      </c>
      <c r="G181" s="2">
        <v>9</v>
      </c>
      <c r="H181" s="1" t="s">
        <v>74</v>
      </c>
      <c r="I181" s="1" t="s">
        <v>1102</v>
      </c>
      <c r="K181" s="1">
        <v>1885</v>
      </c>
      <c r="L181" s="1" t="s">
        <v>1193</v>
      </c>
      <c r="M181" s="1" t="s">
        <v>36</v>
      </c>
      <c r="N181" s="4" t="s">
        <v>12</v>
      </c>
      <c r="O181" s="5">
        <v>146.85613215622399</v>
      </c>
      <c r="P181" s="1" t="s">
        <v>167</v>
      </c>
      <c r="Q181" s="1" t="s">
        <v>1219</v>
      </c>
      <c r="R181" s="1" t="s">
        <v>1151</v>
      </c>
      <c r="S181" s="2" t="s">
        <v>203</v>
      </c>
      <c r="T181" s="2" t="s">
        <v>135</v>
      </c>
    </row>
    <row r="182" spans="1:22" ht="85" x14ac:dyDescent="0.2">
      <c r="A182" s="20" t="s">
        <v>553</v>
      </c>
      <c r="B182" s="2" t="s">
        <v>358</v>
      </c>
      <c r="C182" s="2" t="s">
        <v>359</v>
      </c>
      <c r="D182" s="2" t="s">
        <v>360</v>
      </c>
      <c r="F182" s="2">
        <v>1996</v>
      </c>
      <c r="G182" s="2">
        <v>12</v>
      </c>
      <c r="H182" s="1" t="s">
        <v>361</v>
      </c>
      <c r="I182" s="1" t="s">
        <v>582</v>
      </c>
      <c r="J182" s="1" t="s">
        <v>362</v>
      </c>
      <c r="K182" s="1" t="s">
        <v>581</v>
      </c>
      <c r="L182" s="1" t="s">
        <v>1197</v>
      </c>
      <c r="M182" s="1" t="s">
        <v>124</v>
      </c>
      <c r="N182" s="4" t="s">
        <v>576</v>
      </c>
      <c r="O182" s="3">
        <v>146.92184</v>
      </c>
      <c r="P182" s="1" t="s">
        <v>1246</v>
      </c>
      <c r="Q182" s="1" t="s">
        <v>220</v>
      </c>
      <c r="R182" s="1" t="s">
        <v>1134</v>
      </c>
      <c r="S182" s="1" t="s">
        <v>203</v>
      </c>
      <c r="T182" s="2" t="s">
        <v>51</v>
      </c>
    </row>
    <row r="183" spans="1:22" ht="85" x14ac:dyDescent="0.2">
      <c r="A183" s="20" t="s">
        <v>554</v>
      </c>
      <c r="B183" s="2" t="s">
        <v>358</v>
      </c>
      <c r="C183" s="2" t="s">
        <v>359</v>
      </c>
      <c r="D183" s="2" t="s">
        <v>360</v>
      </c>
      <c r="F183" s="2">
        <v>1996</v>
      </c>
      <c r="H183" s="1" t="s">
        <v>361</v>
      </c>
      <c r="I183" s="1" t="s">
        <v>364</v>
      </c>
      <c r="K183" s="1" t="s">
        <v>262</v>
      </c>
      <c r="L183" s="1" t="s">
        <v>262</v>
      </c>
      <c r="M183" s="1" t="s">
        <v>575</v>
      </c>
      <c r="P183" s="1" t="s">
        <v>169</v>
      </c>
      <c r="Q183" s="1" t="s">
        <v>169</v>
      </c>
      <c r="R183" s="1" t="s">
        <v>1151</v>
      </c>
      <c r="S183" s="1" t="s">
        <v>0</v>
      </c>
      <c r="T183" s="2" t="s">
        <v>205</v>
      </c>
    </row>
    <row r="184" spans="1:22" ht="34" x14ac:dyDescent="0.2">
      <c r="A184" s="20" t="s">
        <v>555</v>
      </c>
      <c r="B184" s="6" t="s">
        <v>45</v>
      </c>
      <c r="C184" s="6" t="s">
        <v>278</v>
      </c>
      <c r="D184" s="6" t="s">
        <v>279</v>
      </c>
      <c r="E184" s="6"/>
      <c r="F184" s="6">
        <v>2020</v>
      </c>
      <c r="G184" s="6">
        <v>59</v>
      </c>
      <c r="H184" s="7" t="s">
        <v>48</v>
      </c>
      <c r="I184" s="1" t="s">
        <v>1103</v>
      </c>
      <c r="J184" s="1" t="s">
        <v>60</v>
      </c>
      <c r="K184" s="1" t="s">
        <v>268</v>
      </c>
      <c r="L184" s="1" t="s">
        <v>1197</v>
      </c>
      <c r="M184" s="1" t="s">
        <v>59</v>
      </c>
      <c r="N184" s="5" t="s">
        <v>61</v>
      </c>
      <c r="O184" s="5" t="s">
        <v>62</v>
      </c>
      <c r="P184" s="1" t="s">
        <v>167</v>
      </c>
      <c r="Q184" s="1" t="s">
        <v>1219</v>
      </c>
      <c r="R184" s="1" t="s">
        <v>1138</v>
      </c>
      <c r="S184" s="1" t="s">
        <v>0</v>
      </c>
      <c r="T184" s="1" t="s">
        <v>76</v>
      </c>
    </row>
    <row r="185" spans="1:22" ht="183" customHeight="1" x14ac:dyDescent="0.2">
      <c r="A185" s="20" t="s">
        <v>556</v>
      </c>
      <c r="B185" s="6" t="s">
        <v>45</v>
      </c>
      <c r="C185" s="6" t="s">
        <v>278</v>
      </c>
      <c r="D185" s="6" t="s">
        <v>279</v>
      </c>
      <c r="E185" s="6"/>
      <c r="F185" s="6">
        <v>2020</v>
      </c>
      <c r="G185" s="6">
        <v>2</v>
      </c>
      <c r="H185" s="7" t="s">
        <v>48</v>
      </c>
      <c r="I185" s="1" t="s">
        <v>1104</v>
      </c>
      <c r="K185" s="1" t="s">
        <v>262</v>
      </c>
      <c r="L185" s="1" t="s">
        <v>262</v>
      </c>
      <c r="M185" s="1" t="s">
        <v>46</v>
      </c>
      <c r="N185" s="4" t="s">
        <v>270</v>
      </c>
      <c r="O185" s="5" t="s">
        <v>271</v>
      </c>
      <c r="P185" s="1" t="s">
        <v>167</v>
      </c>
      <c r="Q185" s="1" t="s">
        <v>220</v>
      </c>
      <c r="R185" s="1" t="s">
        <v>1151</v>
      </c>
      <c r="S185" s="1" t="s">
        <v>3</v>
      </c>
      <c r="T185" s="1" t="s">
        <v>3</v>
      </c>
    </row>
    <row r="186" spans="1:22" ht="51" x14ac:dyDescent="0.2">
      <c r="A186" s="20" t="s">
        <v>557</v>
      </c>
      <c r="B186" s="6" t="s">
        <v>45</v>
      </c>
      <c r="C186" s="6" t="s">
        <v>278</v>
      </c>
      <c r="D186" s="6" t="s">
        <v>279</v>
      </c>
      <c r="E186" s="6"/>
      <c r="F186" s="6">
        <v>2020</v>
      </c>
      <c r="G186" s="6">
        <v>21</v>
      </c>
      <c r="H186" s="7" t="s">
        <v>48</v>
      </c>
      <c r="I186" s="1" t="s">
        <v>1105</v>
      </c>
      <c r="J186" s="1" t="s">
        <v>49</v>
      </c>
      <c r="K186" s="1">
        <v>1897</v>
      </c>
      <c r="L186" s="1" t="s">
        <v>1191</v>
      </c>
      <c r="M186" s="1" t="s">
        <v>50</v>
      </c>
      <c r="N186" s="4" t="s">
        <v>227</v>
      </c>
      <c r="O186" s="5" t="s">
        <v>228</v>
      </c>
      <c r="P186" s="1" t="s">
        <v>1247</v>
      </c>
      <c r="Q186" s="1" t="s">
        <v>1219</v>
      </c>
      <c r="R186" s="1" t="s">
        <v>1134</v>
      </c>
      <c r="S186" s="1" t="s">
        <v>203</v>
      </c>
      <c r="T186" s="1" t="s">
        <v>51</v>
      </c>
    </row>
    <row r="187" spans="1:22" ht="74" customHeight="1" x14ac:dyDescent="0.2">
      <c r="A187" s="20" t="s">
        <v>558</v>
      </c>
      <c r="B187" s="6" t="s">
        <v>45</v>
      </c>
      <c r="C187" s="6" t="s">
        <v>278</v>
      </c>
      <c r="D187" s="6" t="s">
        <v>279</v>
      </c>
      <c r="E187" s="6"/>
      <c r="F187" s="6">
        <v>2020</v>
      </c>
      <c r="G187" s="6">
        <v>62</v>
      </c>
      <c r="H187" s="7" t="s">
        <v>48</v>
      </c>
      <c r="I187" s="1" t="s">
        <v>1106</v>
      </c>
      <c r="J187" s="1" t="s">
        <v>221</v>
      </c>
      <c r="K187" s="1">
        <v>1859</v>
      </c>
      <c r="L187" s="1" t="s">
        <v>1189</v>
      </c>
      <c r="M187" s="1" t="s">
        <v>63</v>
      </c>
      <c r="N187" s="4" t="s">
        <v>64</v>
      </c>
      <c r="O187" s="5" t="s">
        <v>65</v>
      </c>
      <c r="P187" s="1" t="s">
        <v>167</v>
      </c>
      <c r="Q187" s="1" t="s">
        <v>1218</v>
      </c>
      <c r="R187" s="1" t="s">
        <v>1131</v>
      </c>
      <c r="S187" s="1" t="s">
        <v>66</v>
      </c>
      <c r="T187" s="1" t="s">
        <v>66</v>
      </c>
    </row>
    <row r="188" spans="1:22" ht="51" x14ac:dyDescent="0.2">
      <c r="A188" s="20" t="s">
        <v>559</v>
      </c>
      <c r="B188" s="6" t="s">
        <v>45</v>
      </c>
      <c r="C188" s="6" t="s">
        <v>278</v>
      </c>
      <c r="D188" s="6" t="s">
        <v>279</v>
      </c>
      <c r="E188" s="6"/>
      <c r="F188" s="6">
        <v>2020</v>
      </c>
      <c r="G188" s="6">
        <v>34</v>
      </c>
      <c r="H188" s="7" t="s">
        <v>48</v>
      </c>
      <c r="I188" s="1" t="s">
        <v>1107</v>
      </c>
      <c r="J188" s="1" t="s">
        <v>58</v>
      </c>
      <c r="K188" s="1" t="s">
        <v>262</v>
      </c>
      <c r="L188" s="1" t="s">
        <v>262</v>
      </c>
      <c r="M188" s="1" t="s">
        <v>622</v>
      </c>
      <c r="P188" s="1" t="s">
        <v>169</v>
      </c>
      <c r="Q188" s="1" t="s">
        <v>169</v>
      </c>
      <c r="R188" s="1" t="s">
        <v>1151</v>
      </c>
      <c r="S188" s="1" t="s">
        <v>0</v>
      </c>
      <c r="T188" s="1" t="s">
        <v>205</v>
      </c>
    </row>
    <row r="189" spans="1:22" ht="86" customHeight="1" x14ac:dyDescent="0.2">
      <c r="A189" s="20" t="s">
        <v>560</v>
      </c>
      <c r="B189" s="6" t="s">
        <v>45</v>
      </c>
      <c r="C189" s="6" t="s">
        <v>278</v>
      </c>
      <c r="D189" s="6" t="s">
        <v>279</v>
      </c>
      <c r="E189" s="6"/>
      <c r="F189" s="6">
        <v>2020</v>
      </c>
      <c r="G189" s="6">
        <v>63</v>
      </c>
      <c r="H189" s="7" t="s">
        <v>48</v>
      </c>
      <c r="I189" s="1" t="s">
        <v>1108</v>
      </c>
      <c r="J189" s="1" t="s">
        <v>269</v>
      </c>
      <c r="K189" s="1">
        <v>1859</v>
      </c>
      <c r="L189" s="1" t="s">
        <v>1189</v>
      </c>
      <c r="M189" s="1" t="s">
        <v>67</v>
      </c>
      <c r="N189" s="5" t="s">
        <v>68</v>
      </c>
      <c r="O189" s="5" t="s">
        <v>69</v>
      </c>
      <c r="P189" s="1" t="s">
        <v>1246</v>
      </c>
      <c r="Q189" s="1" t="s">
        <v>1219</v>
      </c>
      <c r="R189" s="1" t="s">
        <v>1140</v>
      </c>
      <c r="S189" s="2" t="s">
        <v>203</v>
      </c>
      <c r="T189" s="2" t="s">
        <v>90</v>
      </c>
    </row>
    <row r="190" spans="1:22" ht="34" x14ac:dyDescent="0.2">
      <c r="A190" s="20" t="s">
        <v>561</v>
      </c>
      <c r="B190" s="6" t="s">
        <v>45</v>
      </c>
      <c r="C190" s="6" t="s">
        <v>278</v>
      </c>
      <c r="D190" s="6" t="s">
        <v>279</v>
      </c>
      <c r="E190" s="6"/>
      <c r="F190" s="6">
        <v>2020</v>
      </c>
      <c r="G190" s="6">
        <v>34</v>
      </c>
      <c r="H190" s="7" t="s">
        <v>48</v>
      </c>
      <c r="I190" s="1" t="s">
        <v>1109</v>
      </c>
      <c r="K190" s="1" t="s">
        <v>263</v>
      </c>
      <c r="L190" s="1" t="s">
        <v>1256</v>
      </c>
      <c r="M190" s="1" t="s">
        <v>57</v>
      </c>
      <c r="P190" s="1" t="s">
        <v>169</v>
      </c>
      <c r="Q190" s="1" t="s">
        <v>169</v>
      </c>
      <c r="R190" s="1" t="s">
        <v>1151</v>
      </c>
      <c r="S190" s="1" t="s">
        <v>203</v>
      </c>
      <c r="T190" s="1" t="s">
        <v>51</v>
      </c>
    </row>
    <row r="191" spans="1:22" ht="85" customHeight="1" x14ac:dyDescent="0.2">
      <c r="A191" s="20" t="s">
        <v>562</v>
      </c>
      <c r="B191" s="2" t="s">
        <v>153</v>
      </c>
      <c r="C191" s="6" t="s">
        <v>263</v>
      </c>
      <c r="D191" s="2" t="s">
        <v>263</v>
      </c>
      <c r="E191" s="2" t="s">
        <v>151</v>
      </c>
      <c r="F191" s="2">
        <v>1925</v>
      </c>
      <c r="G191" s="2">
        <v>22</v>
      </c>
      <c r="H191" s="1" t="s">
        <v>74</v>
      </c>
      <c r="I191" s="1" t="s">
        <v>1155</v>
      </c>
      <c r="K191" s="1">
        <v>1859</v>
      </c>
      <c r="L191" s="1" t="s">
        <v>1189</v>
      </c>
      <c r="M191" s="1" t="s">
        <v>63</v>
      </c>
      <c r="N191" s="4" t="s">
        <v>64</v>
      </c>
      <c r="O191" s="5" t="s">
        <v>65</v>
      </c>
      <c r="P191" s="1" t="s">
        <v>167</v>
      </c>
      <c r="Q191" s="1" t="s">
        <v>1218</v>
      </c>
      <c r="R191" s="1" t="s">
        <v>1131</v>
      </c>
      <c r="S191" s="2" t="s">
        <v>66</v>
      </c>
      <c r="T191" s="2" t="s">
        <v>66</v>
      </c>
    </row>
    <row r="192" spans="1:22" ht="127" customHeight="1" x14ac:dyDescent="0.2">
      <c r="A192" s="20" t="s">
        <v>563</v>
      </c>
      <c r="B192" s="2" t="s">
        <v>156</v>
      </c>
      <c r="C192" s="6" t="s">
        <v>276</v>
      </c>
      <c r="D192" s="6" t="s">
        <v>277</v>
      </c>
      <c r="E192" s="6"/>
      <c r="F192" s="6">
        <v>1988</v>
      </c>
      <c r="G192" s="6">
        <v>62</v>
      </c>
      <c r="H192" s="7" t="s">
        <v>157</v>
      </c>
      <c r="I192" s="7" t="s">
        <v>1084</v>
      </c>
      <c r="J192" s="7"/>
      <c r="K192" s="1" t="s">
        <v>1196</v>
      </c>
      <c r="L192" s="1" t="s">
        <v>1197</v>
      </c>
      <c r="M192" s="7" t="s">
        <v>36</v>
      </c>
      <c r="N192" s="8" t="s">
        <v>12</v>
      </c>
      <c r="O192" s="9">
        <v>146.85613215622399</v>
      </c>
      <c r="P192" s="10" t="s">
        <v>167</v>
      </c>
      <c r="Q192" s="1" t="s">
        <v>1219</v>
      </c>
      <c r="R192" s="1" t="s">
        <v>1151</v>
      </c>
      <c r="S192" s="7" t="s">
        <v>247</v>
      </c>
      <c r="T192" s="6" t="s">
        <v>100</v>
      </c>
      <c r="U192" s="6" t="s">
        <v>137</v>
      </c>
      <c r="V192" s="6" t="s">
        <v>97</v>
      </c>
    </row>
    <row r="193" spans="1:22" ht="102" x14ac:dyDescent="0.2">
      <c r="A193" s="20" t="s">
        <v>1178</v>
      </c>
      <c r="B193" s="2" t="s">
        <v>732</v>
      </c>
      <c r="C193" s="6" t="s">
        <v>263</v>
      </c>
      <c r="D193" s="6" t="s">
        <v>263</v>
      </c>
      <c r="E193" s="7" t="s">
        <v>140</v>
      </c>
      <c r="F193" s="6">
        <v>1899</v>
      </c>
      <c r="G193" s="6">
        <v>5</v>
      </c>
      <c r="H193" s="7" t="s">
        <v>74</v>
      </c>
      <c r="I193" s="7" t="s">
        <v>1025</v>
      </c>
      <c r="J193" s="7"/>
      <c r="K193" s="7">
        <v>1899</v>
      </c>
      <c r="L193" s="7" t="s">
        <v>1191</v>
      </c>
      <c r="M193" s="7" t="s">
        <v>54</v>
      </c>
      <c r="N193" s="4" t="s">
        <v>55</v>
      </c>
      <c r="O193" s="5" t="s">
        <v>56</v>
      </c>
      <c r="P193" s="1" t="s">
        <v>167</v>
      </c>
      <c r="Q193" s="1" t="s">
        <v>1219</v>
      </c>
      <c r="R193" s="1" t="s">
        <v>1151</v>
      </c>
      <c r="S193" s="7" t="s">
        <v>203</v>
      </c>
      <c r="T193" s="6" t="s">
        <v>135</v>
      </c>
      <c r="U193" s="6"/>
      <c r="V193" s="6"/>
    </row>
    <row r="194" spans="1:22" ht="238" x14ac:dyDescent="0.2">
      <c r="A194" s="20" t="s">
        <v>564</v>
      </c>
      <c r="B194" s="2" t="s">
        <v>733</v>
      </c>
      <c r="C194" s="6" t="s">
        <v>263</v>
      </c>
      <c r="D194" s="6" t="s">
        <v>263</v>
      </c>
      <c r="E194" s="7" t="s">
        <v>696</v>
      </c>
      <c r="F194" s="6">
        <v>1899</v>
      </c>
      <c r="G194" s="6">
        <v>7</v>
      </c>
      <c r="H194" s="7" t="s">
        <v>74</v>
      </c>
      <c r="I194" s="7" t="s">
        <v>734</v>
      </c>
      <c r="J194" s="7"/>
      <c r="K194" s="7">
        <v>1899</v>
      </c>
      <c r="L194" s="7" t="s">
        <v>1191</v>
      </c>
      <c r="M194" s="7" t="s">
        <v>54</v>
      </c>
      <c r="N194" s="4" t="s">
        <v>55</v>
      </c>
      <c r="O194" s="5" t="s">
        <v>56</v>
      </c>
      <c r="P194" s="1" t="s">
        <v>167</v>
      </c>
      <c r="Q194" s="1" t="s">
        <v>1219</v>
      </c>
      <c r="R194" s="1" t="s">
        <v>1135</v>
      </c>
      <c r="S194" s="7" t="s">
        <v>203</v>
      </c>
      <c r="T194" s="6" t="s">
        <v>135</v>
      </c>
      <c r="U194" s="6"/>
      <c r="V194" s="6"/>
    </row>
    <row r="195" spans="1:22" ht="85" x14ac:dyDescent="0.2">
      <c r="A195" s="20" t="s">
        <v>565</v>
      </c>
      <c r="B195" s="2" t="s">
        <v>735</v>
      </c>
      <c r="C195" s="6" t="s">
        <v>263</v>
      </c>
      <c r="D195" s="6" t="s">
        <v>263</v>
      </c>
      <c r="E195" s="7" t="s">
        <v>140</v>
      </c>
      <c r="F195" s="6">
        <v>1897</v>
      </c>
      <c r="G195" s="6">
        <v>7</v>
      </c>
      <c r="H195" s="7" t="s">
        <v>74</v>
      </c>
      <c r="I195" s="7" t="s">
        <v>1169</v>
      </c>
      <c r="J195" s="7"/>
      <c r="K195" s="7">
        <v>1897</v>
      </c>
      <c r="L195" s="7" t="s">
        <v>1191</v>
      </c>
      <c r="M195" s="7" t="s">
        <v>54</v>
      </c>
      <c r="N195" s="4" t="s">
        <v>55</v>
      </c>
      <c r="O195" s="5" t="s">
        <v>56</v>
      </c>
      <c r="P195" s="1" t="s">
        <v>167</v>
      </c>
      <c r="Q195" s="1" t="s">
        <v>1219</v>
      </c>
      <c r="R195" s="1" t="s">
        <v>1146</v>
      </c>
      <c r="S195" s="7" t="s">
        <v>203</v>
      </c>
      <c r="T195" s="6" t="s">
        <v>135</v>
      </c>
      <c r="U195" s="6"/>
      <c r="V195" s="6"/>
    </row>
    <row r="196" spans="1:22" ht="204" x14ac:dyDescent="0.2">
      <c r="A196" s="20" t="s">
        <v>566</v>
      </c>
      <c r="B196" s="2" t="s">
        <v>718</v>
      </c>
      <c r="C196" s="6" t="s">
        <v>263</v>
      </c>
      <c r="D196" s="6" t="s">
        <v>263</v>
      </c>
      <c r="E196" s="7" t="s">
        <v>696</v>
      </c>
      <c r="F196" s="6">
        <v>1900</v>
      </c>
      <c r="G196" s="6">
        <v>7</v>
      </c>
      <c r="H196" s="7" t="s">
        <v>74</v>
      </c>
      <c r="I196" s="7" t="s">
        <v>1110</v>
      </c>
      <c r="J196" s="7"/>
      <c r="K196" s="7">
        <v>1900</v>
      </c>
      <c r="L196" s="1">
        <v>1900</v>
      </c>
      <c r="M196" s="7" t="s">
        <v>54</v>
      </c>
      <c r="N196" s="4" t="s">
        <v>55</v>
      </c>
      <c r="O196" s="5" t="s">
        <v>56</v>
      </c>
      <c r="P196" s="1" t="s">
        <v>167</v>
      </c>
      <c r="Q196" s="1" t="s">
        <v>1219</v>
      </c>
      <c r="R196" s="1" t="s">
        <v>1146</v>
      </c>
      <c r="S196" s="7" t="s">
        <v>203</v>
      </c>
      <c r="T196" s="6" t="s">
        <v>135</v>
      </c>
      <c r="U196" s="6"/>
      <c r="V196" s="6"/>
    </row>
    <row r="197" spans="1:22" ht="68" x14ac:dyDescent="0.2">
      <c r="A197" s="20" t="s">
        <v>567</v>
      </c>
      <c r="B197" s="2" t="s">
        <v>725</v>
      </c>
      <c r="C197" s="6" t="s">
        <v>263</v>
      </c>
      <c r="D197" s="6" t="s">
        <v>263</v>
      </c>
      <c r="E197" s="7" t="s">
        <v>140</v>
      </c>
      <c r="F197" s="6">
        <v>1899</v>
      </c>
      <c r="G197" s="6">
        <v>3</v>
      </c>
      <c r="H197" s="7" t="s">
        <v>74</v>
      </c>
      <c r="I197" s="7" t="s">
        <v>736</v>
      </c>
      <c r="J197" s="7"/>
      <c r="K197" s="7">
        <v>1899</v>
      </c>
      <c r="L197" s="7" t="s">
        <v>1191</v>
      </c>
      <c r="M197" s="7" t="s">
        <v>54</v>
      </c>
      <c r="N197" s="4" t="s">
        <v>55</v>
      </c>
      <c r="O197" s="5" t="s">
        <v>56</v>
      </c>
      <c r="P197" s="1" t="s">
        <v>167</v>
      </c>
      <c r="Q197" s="1" t="s">
        <v>1219</v>
      </c>
      <c r="R197" s="1" t="s">
        <v>1146</v>
      </c>
      <c r="S197" s="7" t="s">
        <v>203</v>
      </c>
      <c r="T197" s="6" t="s">
        <v>135</v>
      </c>
      <c r="U197" s="6"/>
      <c r="V197" s="6"/>
    </row>
    <row r="198" spans="1:22" ht="51" x14ac:dyDescent="0.2">
      <c r="A198" s="20" t="s">
        <v>568</v>
      </c>
      <c r="B198" s="2" t="s">
        <v>725</v>
      </c>
      <c r="C198" s="6" t="s">
        <v>263</v>
      </c>
      <c r="D198" s="6" t="s">
        <v>263</v>
      </c>
      <c r="E198" s="7" t="s">
        <v>696</v>
      </c>
      <c r="F198" s="6">
        <v>1900</v>
      </c>
      <c r="G198" s="6">
        <v>3</v>
      </c>
      <c r="H198" s="7" t="s">
        <v>74</v>
      </c>
      <c r="I198" s="7" t="s">
        <v>737</v>
      </c>
      <c r="J198" s="7"/>
      <c r="K198" s="7">
        <v>1900</v>
      </c>
      <c r="L198" s="1">
        <v>1900</v>
      </c>
      <c r="M198" s="7" t="s">
        <v>54</v>
      </c>
      <c r="N198" s="4" t="s">
        <v>55</v>
      </c>
      <c r="O198" s="5" t="s">
        <v>56</v>
      </c>
      <c r="P198" s="1" t="s">
        <v>167</v>
      </c>
      <c r="Q198" s="1" t="s">
        <v>1219</v>
      </c>
      <c r="R198" s="1" t="s">
        <v>1146</v>
      </c>
      <c r="S198" s="7" t="s">
        <v>203</v>
      </c>
      <c r="T198" s="6" t="s">
        <v>135</v>
      </c>
      <c r="U198" s="6"/>
      <c r="V198" s="6"/>
    </row>
    <row r="199" spans="1:22" ht="170" x14ac:dyDescent="0.2">
      <c r="A199" s="20" t="s">
        <v>569</v>
      </c>
      <c r="B199" s="2" t="s">
        <v>728</v>
      </c>
      <c r="C199" s="6" t="s">
        <v>263</v>
      </c>
      <c r="D199" s="6" t="s">
        <v>263</v>
      </c>
      <c r="E199" s="7" t="s">
        <v>696</v>
      </c>
      <c r="F199" s="6">
        <v>1898</v>
      </c>
      <c r="G199" s="6">
        <v>5</v>
      </c>
      <c r="H199" s="7" t="s">
        <v>74</v>
      </c>
      <c r="I199" s="7" t="s">
        <v>738</v>
      </c>
      <c r="J199" s="7"/>
      <c r="K199" s="7">
        <v>1898</v>
      </c>
      <c r="L199" s="7" t="s">
        <v>1191</v>
      </c>
      <c r="M199" s="7" t="s">
        <v>54</v>
      </c>
      <c r="N199" s="4" t="s">
        <v>55</v>
      </c>
      <c r="O199" s="5" t="s">
        <v>56</v>
      </c>
      <c r="P199" s="1" t="s">
        <v>167</v>
      </c>
      <c r="Q199" s="1" t="s">
        <v>1219</v>
      </c>
      <c r="R199" s="1" t="s">
        <v>1146</v>
      </c>
      <c r="S199" s="7" t="s">
        <v>203</v>
      </c>
      <c r="T199" s="6" t="s">
        <v>135</v>
      </c>
      <c r="U199" s="6"/>
      <c r="V199" s="6"/>
    </row>
    <row r="200" spans="1:22" ht="106" customHeight="1" x14ac:dyDescent="0.2">
      <c r="A200" s="20" t="s">
        <v>570</v>
      </c>
      <c r="B200" s="2" t="s">
        <v>728</v>
      </c>
      <c r="C200" s="6" t="s">
        <v>263</v>
      </c>
      <c r="D200" s="6" t="s">
        <v>263</v>
      </c>
      <c r="E200" s="7" t="s">
        <v>696</v>
      </c>
      <c r="F200" s="6">
        <v>1896</v>
      </c>
      <c r="G200" s="6">
        <v>8</v>
      </c>
      <c r="H200" s="7" t="s">
        <v>74</v>
      </c>
      <c r="I200" s="7" t="s">
        <v>741</v>
      </c>
      <c r="J200" s="7"/>
      <c r="K200" s="7">
        <v>1896</v>
      </c>
      <c r="L200" s="7" t="s">
        <v>1191</v>
      </c>
      <c r="M200" s="7" t="s">
        <v>54</v>
      </c>
      <c r="N200" s="4" t="s">
        <v>55</v>
      </c>
      <c r="O200" s="5" t="s">
        <v>56</v>
      </c>
      <c r="P200" s="1" t="s">
        <v>167</v>
      </c>
      <c r="Q200" s="1" t="s">
        <v>1219</v>
      </c>
      <c r="R200" s="1" t="s">
        <v>1146</v>
      </c>
      <c r="S200" s="7" t="s">
        <v>203</v>
      </c>
      <c r="T200" s="6" t="s">
        <v>135</v>
      </c>
      <c r="U200" s="6"/>
      <c r="V200" s="6"/>
    </row>
    <row r="201" spans="1:22" ht="51" x14ac:dyDescent="0.2">
      <c r="A201" s="20" t="s">
        <v>571</v>
      </c>
      <c r="B201" s="2" t="s">
        <v>728</v>
      </c>
      <c r="C201" s="6" t="s">
        <v>263</v>
      </c>
      <c r="D201" s="6" t="s">
        <v>263</v>
      </c>
      <c r="E201" s="7" t="s">
        <v>143</v>
      </c>
      <c r="F201" s="6">
        <v>1898</v>
      </c>
      <c r="G201" s="6">
        <v>3</v>
      </c>
      <c r="H201" s="7" t="s">
        <v>74</v>
      </c>
      <c r="I201" s="7" t="s">
        <v>742</v>
      </c>
      <c r="J201" s="7"/>
      <c r="K201" s="7">
        <v>1898</v>
      </c>
      <c r="L201" s="7" t="s">
        <v>1191</v>
      </c>
      <c r="M201" s="7" t="s">
        <v>54</v>
      </c>
      <c r="N201" s="4" t="s">
        <v>55</v>
      </c>
      <c r="O201" s="5" t="s">
        <v>56</v>
      </c>
      <c r="P201" s="1" t="s">
        <v>167</v>
      </c>
      <c r="Q201" s="1" t="s">
        <v>1219</v>
      </c>
      <c r="R201" s="1" t="s">
        <v>1146</v>
      </c>
      <c r="S201" s="7" t="s">
        <v>203</v>
      </c>
      <c r="T201" s="6" t="s">
        <v>135</v>
      </c>
      <c r="U201" s="6"/>
      <c r="V201" s="6"/>
    </row>
    <row r="202" spans="1:22" ht="193" customHeight="1" x14ac:dyDescent="0.2">
      <c r="A202" s="20" t="s">
        <v>572</v>
      </c>
      <c r="B202" s="2" t="s">
        <v>728</v>
      </c>
      <c r="C202" s="6" t="s">
        <v>263</v>
      </c>
      <c r="D202" s="6" t="s">
        <v>263</v>
      </c>
      <c r="E202" s="7" t="s">
        <v>696</v>
      </c>
      <c r="F202" s="6">
        <v>1896</v>
      </c>
      <c r="G202" s="6">
        <v>5</v>
      </c>
      <c r="H202" s="7" t="s">
        <v>74</v>
      </c>
      <c r="I202" s="7" t="s">
        <v>1299</v>
      </c>
      <c r="J202" s="7"/>
      <c r="K202" s="7">
        <v>1896</v>
      </c>
      <c r="L202" s="7" t="s">
        <v>1191</v>
      </c>
      <c r="M202" s="7" t="s">
        <v>54</v>
      </c>
      <c r="N202" s="4" t="s">
        <v>55</v>
      </c>
      <c r="O202" s="5" t="s">
        <v>56</v>
      </c>
      <c r="P202" s="1" t="s">
        <v>167</v>
      </c>
      <c r="Q202" s="1" t="s">
        <v>1219</v>
      </c>
      <c r="R202" s="1" t="s">
        <v>1146</v>
      </c>
      <c r="S202" s="7" t="s">
        <v>203</v>
      </c>
      <c r="T202" s="6" t="s">
        <v>135</v>
      </c>
      <c r="U202" s="6"/>
      <c r="V202" s="6"/>
    </row>
    <row r="203" spans="1:22" ht="176" customHeight="1" x14ac:dyDescent="0.2">
      <c r="A203" s="20" t="s">
        <v>573</v>
      </c>
      <c r="B203" s="2" t="s">
        <v>728</v>
      </c>
      <c r="C203" s="6" t="s">
        <v>263</v>
      </c>
      <c r="D203" s="6" t="s">
        <v>263</v>
      </c>
      <c r="E203" s="7" t="s">
        <v>143</v>
      </c>
      <c r="F203" s="6">
        <v>1896</v>
      </c>
      <c r="G203" s="6">
        <v>3</v>
      </c>
      <c r="H203" s="7" t="s">
        <v>74</v>
      </c>
      <c r="I203" s="7" t="s">
        <v>740</v>
      </c>
      <c r="J203" s="7"/>
      <c r="K203" s="7">
        <v>1896</v>
      </c>
      <c r="L203" s="7" t="s">
        <v>1191</v>
      </c>
      <c r="M203" s="7" t="s">
        <v>54</v>
      </c>
      <c r="N203" s="4" t="s">
        <v>55</v>
      </c>
      <c r="O203" s="5" t="s">
        <v>56</v>
      </c>
      <c r="P203" s="1" t="s">
        <v>167</v>
      </c>
      <c r="Q203" s="1" t="s">
        <v>1219</v>
      </c>
      <c r="R203" s="1" t="s">
        <v>1146</v>
      </c>
      <c r="S203" s="7" t="s">
        <v>203</v>
      </c>
      <c r="T203" s="6" t="s">
        <v>135</v>
      </c>
      <c r="U203" s="6"/>
      <c r="V203" s="6"/>
    </row>
    <row r="204" spans="1:22" ht="68" x14ac:dyDescent="0.2">
      <c r="A204" s="20" t="s">
        <v>574</v>
      </c>
      <c r="B204" s="2" t="s">
        <v>748</v>
      </c>
      <c r="C204" s="6" t="s">
        <v>263</v>
      </c>
      <c r="D204" s="6" t="s">
        <v>263</v>
      </c>
      <c r="E204" s="7" t="s">
        <v>696</v>
      </c>
      <c r="F204" s="6">
        <v>1900</v>
      </c>
      <c r="G204" s="6">
        <v>6</v>
      </c>
      <c r="H204" s="7" t="s">
        <v>74</v>
      </c>
      <c r="I204" s="7" t="s">
        <v>747</v>
      </c>
      <c r="J204" s="7"/>
      <c r="K204" s="7">
        <v>1900</v>
      </c>
      <c r="L204" s="1">
        <v>1900</v>
      </c>
      <c r="M204" s="7" t="s">
        <v>54</v>
      </c>
      <c r="N204" s="4" t="s">
        <v>55</v>
      </c>
      <c r="O204" s="5" t="s">
        <v>56</v>
      </c>
      <c r="P204" s="1" t="s">
        <v>167</v>
      </c>
      <c r="Q204" s="1" t="s">
        <v>1219</v>
      </c>
      <c r="R204" s="1" t="s">
        <v>1146</v>
      </c>
      <c r="S204" s="7" t="s">
        <v>203</v>
      </c>
      <c r="T204" s="6" t="s">
        <v>135</v>
      </c>
      <c r="U204" s="6"/>
      <c r="V204" s="6"/>
    </row>
    <row r="205" spans="1:22" ht="51" x14ac:dyDescent="0.2">
      <c r="A205" s="20" t="s">
        <v>845</v>
      </c>
      <c r="B205" s="2" t="s">
        <v>749</v>
      </c>
      <c r="C205" s="6" t="s">
        <v>263</v>
      </c>
      <c r="D205" s="6" t="s">
        <v>263</v>
      </c>
      <c r="E205" s="7" t="s">
        <v>140</v>
      </c>
      <c r="F205" s="6">
        <v>1886</v>
      </c>
      <c r="G205" s="6">
        <v>4</v>
      </c>
      <c r="H205" s="7" t="s">
        <v>74</v>
      </c>
      <c r="I205" s="7" t="s">
        <v>1300</v>
      </c>
      <c r="J205" s="7"/>
      <c r="K205" s="7">
        <v>1886</v>
      </c>
      <c r="L205" s="7" t="s">
        <v>1193</v>
      </c>
      <c r="M205" s="7" t="s">
        <v>54</v>
      </c>
      <c r="N205" s="4" t="s">
        <v>55</v>
      </c>
      <c r="O205" s="5" t="s">
        <v>56</v>
      </c>
      <c r="P205" s="1" t="s">
        <v>167</v>
      </c>
      <c r="Q205" s="1" t="s">
        <v>1219</v>
      </c>
      <c r="R205" s="1" t="s">
        <v>1134</v>
      </c>
      <c r="S205" s="7" t="s">
        <v>203</v>
      </c>
      <c r="T205" s="6" t="s">
        <v>135</v>
      </c>
      <c r="U205" s="6"/>
      <c r="V205" s="6"/>
    </row>
    <row r="206" spans="1:22" ht="102" x14ac:dyDescent="0.2">
      <c r="A206" s="20" t="s">
        <v>846</v>
      </c>
      <c r="B206" s="2" t="s">
        <v>753</v>
      </c>
      <c r="C206" s="6" t="s">
        <v>263</v>
      </c>
      <c r="D206" s="6" t="s">
        <v>263</v>
      </c>
      <c r="E206" s="7" t="s">
        <v>144</v>
      </c>
      <c r="F206" s="6">
        <v>1882</v>
      </c>
      <c r="G206" s="6">
        <v>135</v>
      </c>
      <c r="H206" s="7" t="s">
        <v>74</v>
      </c>
      <c r="I206" s="7" t="s">
        <v>752</v>
      </c>
      <c r="J206" s="7"/>
      <c r="K206" s="7">
        <v>1882</v>
      </c>
      <c r="L206" s="7" t="s">
        <v>1193</v>
      </c>
      <c r="M206" s="7" t="s">
        <v>54</v>
      </c>
      <c r="N206" s="4" t="s">
        <v>55</v>
      </c>
      <c r="O206" s="5" t="s">
        <v>56</v>
      </c>
      <c r="P206" s="1" t="s">
        <v>167</v>
      </c>
      <c r="Q206" s="1" t="s">
        <v>1219</v>
      </c>
      <c r="R206" s="1" t="s">
        <v>1131</v>
      </c>
      <c r="S206" s="7" t="s">
        <v>203</v>
      </c>
      <c r="T206" s="6" t="s">
        <v>135</v>
      </c>
      <c r="U206" s="6"/>
      <c r="V206" s="6"/>
    </row>
    <row r="207" spans="1:22" ht="136" x14ac:dyDescent="0.2">
      <c r="A207" s="20" t="s">
        <v>847</v>
      </c>
      <c r="B207" s="2" t="s">
        <v>683</v>
      </c>
      <c r="C207" s="6" t="s">
        <v>263</v>
      </c>
      <c r="D207" s="6" t="s">
        <v>263</v>
      </c>
      <c r="E207" s="7" t="s">
        <v>681</v>
      </c>
      <c r="F207" s="6">
        <v>1899</v>
      </c>
      <c r="G207" s="6">
        <v>95</v>
      </c>
      <c r="H207" s="7" t="s">
        <v>74</v>
      </c>
      <c r="I207" s="7" t="s">
        <v>682</v>
      </c>
      <c r="J207" s="7"/>
      <c r="K207" s="7">
        <v>1899</v>
      </c>
      <c r="L207" s="7" t="s">
        <v>1191</v>
      </c>
      <c r="M207" s="7" t="s">
        <v>46</v>
      </c>
      <c r="N207" s="4" t="s">
        <v>270</v>
      </c>
      <c r="O207" s="5" t="s">
        <v>271</v>
      </c>
      <c r="P207" s="1" t="s">
        <v>167</v>
      </c>
      <c r="Q207" s="1" t="s">
        <v>220</v>
      </c>
      <c r="R207" s="1" t="s">
        <v>1151</v>
      </c>
      <c r="S207" s="7" t="s">
        <v>0</v>
      </c>
      <c r="T207" s="6" t="s">
        <v>207</v>
      </c>
      <c r="U207" s="6"/>
      <c r="V207" s="6"/>
    </row>
    <row r="208" spans="1:22" ht="85" x14ac:dyDescent="0.2">
      <c r="A208" s="20" t="s">
        <v>848</v>
      </c>
      <c r="B208" s="2" t="s">
        <v>695</v>
      </c>
      <c r="C208" s="6" t="s">
        <v>263</v>
      </c>
      <c r="D208" s="6" t="s">
        <v>263</v>
      </c>
      <c r="E208" s="7" t="s">
        <v>696</v>
      </c>
      <c r="F208" s="6">
        <v>1897</v>
      </c>
      <c r="G208" s="6">
        <v>4</v>
      </c>
      <c r="H208" s="7" t="s">
        <v>74</v>
      </c>
      <c r="I208" s="7" t="s">
        <v>1303</v>
      </c>
      <c r="J208" s="7"/>
      <c r="K208" s="7">
        <v>1896</v>
      </c>
      <c r="L208" s="7" t="s">
        <v>1191</v>
      </c>
      <c r="M208" s="7" t="s">
        <v>46</v>
      </c>
      <c r="N208" s="7">
        <v>-29.544588938230302</v>
      </c>
      <c r="O208" s="16">
        <v>147.219543589464</v>
      </c>
      <c r="P208" s="7" t="s">
        <v>167</v>
      </c>
      <c r="Q208" s="7" t="s">
        <v>220</v>
      </c>
      <c r="R208" s="1" t="s">
        <v>1135</v>
      </c>
      <c r="S208" s="7" t="s">
        <v>203</v>
      </c>
      <c r="T208" s="6" t="s">
        <v>51</v>
      </c>
      <c r="U208" s="6"/>
      <c r="V208" s="6"/>
    </row>
    <row r="209" spans="1:22" ht="68" x14ac:dyDescent="0.2">
      <c r="A209" s="20" t="s">
        <v>849</v>
      </c>
      <c r="B209" s="2" t="s">
        <v>725</v>
      </c>
      <c r="C209" s="6" t="s">
        <v>263</v>
      </c>
      <c r="D209" s="6" t="s">
        <v>263</v>
      </c>
      <c r="E209" s="7" t="s">
        <v>696</v>
      </c>
      <c r="F209" s="6">
        <v>1897</v>
      </c>
      <c r="G209" s="6">
        <v>3</v>
      </c>
      <c r="H209" s="7" t="s">
        <v>74</v>
      </c>
      <c r="I209" s="7" t="s">
        <v>726</v>
      </c>
      <c r="J209" s="7"/>
      <c r="K209" s="7">
        <v>1897</v>
      </c>
      <c r="L209" s="7" t="s">
        <v>1191</v>
      </c>
      <c r="M209" s="7" t="s">
        <v>46</v>
      </c>
      <c r="N209" s="7">
        <v>-29.544588938230302</v>
      </c>
      <c r="O209" s="16">
        <v>147.219543589464</v>
      </c>
      <c r="P209" s="7" t="s">
        <v>167</v>
      </c>
      <c r="Q209" s="7" t="s">
        <v>220</v>
      </c>
      <c r="R209" s="1" t="s">
        <v>1135</v>
      </c>
      <c r="S209" s="7" t="s">
        <v>203</v>
      </c>
      <c r="T209" s="6" t="s">
        <v>51</v>
      </c>
      <c r="U209" s="6"/>
      <c r="V209" s="6"/>
    </row>
    <row r="210" spans="1:22" ht="89" customHeight="1" x14ac:dyDescent="0.2">
      <c r="A210" s="20" t="s">
        <v>850</v>
      </c>
      <c r="B210" s="2" t="s">
        <v>728</v>
      </c>
      <c r="C210" s="6" t="s">
        <v>263</v>
      </c>
      <c r="D210" s="6" t="s">
        <v>263</v>
      </c>
      <c r="E210" s="7" t="s">
        <v>696</v>
      </c>
      <c r="F210" s="6">
        <v>1896</v>
      </c>
      <c r="G210" s="6">
        <v>5</v>
      </c>
      <c r="H210" s="7" t="s">
        <v>74</v>
      </c>
      <c r="I210" s="7" t="s">
        <v>727</v>
      </c>
      <c r="J210" s="7"/>
      <c r="K210" s="7">
        <v>1896</v>
      </c>
      <c r="L210" s="7" t="s">
        <v>1191</v>
      </c>
      <c r="M210" s="7" t="s">
        <v>46</v>
      </c>
      <c r="N210" s="7">
        <v>-29.544588938230302</v>
      </c>
      <c r="O210" s="16">
        <v>147.219543589464</v>
      </c>
      <c r="P210" s="7" t="s">
        <v>167</v>
      </c>
      <c r="Q210" s="7" t="s">
        <v>220</v>
      </c>
      <c r="R210" s="1" t="s">
        <v>1146</v>
      </c>
      <c r="S210" s="7" t="s">
        <v>203</v>
      </c>
      <c r="T210" s="6" t="s">
        <v>51</v>
      </c>
      <c r="U210" s="6"/>
      <c r="V210" s="6"/>
    </row>
    <row r="211" spans="1:22" ht="138" customHeight="1" x14ac:dyDescent="0.2">
      <c r="A211" s="20" t="s">
        <v>851</v>
      </c>
      <c r="B211" s="2" t="s">
        <v>730</v>
      </c>
      <c r="C211" s="6" t="s">
        <v>263</v>
      </c>
      <c r="D211" s="6" t="s">
        <v>263</v>
      </c>
      <c r="E211" s="7" t="s">
        <v>144</v>
      </c>
      <c r="F211" s="6">
        <v>1875</v>
      </c>
      <c r="G211" s="6">
        <v>250</v>
      </c>
      <c r="H211" s="7" t="s">
        <v>74</v>
      </c>
      <c r="I211" s="7" t="s">
        <v>731</v>
      </c>
      <c r="J211" s="7"/>
      <c r="K211" s="7">
        <v>1875</v>
      </c>
      <c r="L211" s="7" t="s">
        <v>1192</v>
      </c>
      <c r="M211" s="7" t="s">
        <v>46</v>
      </c>
      <c r="N211" s="7">
        <v>-29.544588938230302</v>
      </c>
      <c r="O211" s="16">
        <v>147.219543589464</v>
      </c>
      <c r="P211" s="7" t="s">
        <v>167</v>
      </c>
      <c r="Q211" s="7" t="s">
        <v>220</v>
      </c>
      <c r="R211" s="1" t="s">
        <v>1131</v>
      </c>
      <c r="S211" s="7" t="s">
        <v>3</v>
      </c>
      <c r="T211" s="6" t="s">
        <v>3</v>
      </c>
      <c r="U211" s="6"/>
      <c r="V211" s="6"/>
    </row>
    <row r="212" spans="1:22" ht="68" x14ac:dyDescent="0.2">
      <c r="A212" s="20" t="s">
        <v>852</v>
      </c>
      <c r="B212" s="2" t="s">
        <v>690</v>
      </c>
      <c r="C212" s="6" t="s">
        <v>263</v>
      </c>
      <c r="D212" s="6" t="s">
        <v>263</v>
      </c>
      <c r="E212" s="7" t="s">
        <v>691</v>
      </c>
      <c r="F212" s="6">
        <v>1889</v>
      </c>
      <c r="G212" s="6">
        <v>3</v>
      </c>
      <c r="H212" s="7" t="s">
        <v>74</v>
      </c>
      <c r="I212" s="7" t="s">
        <v>1301</v>
      </c>
      <c r="J212" s="7"/>
      <c r="K212" s="7">
        <v>1843</v>
      </c>
      <c r="L212" s="7" t="s">
        <v>1194</v>
      </c>
      <c r="M212" s="7" t="s">
        <v>104</v>
      </c>
      <c r="N212" s="4" t="s">
        <v>187</v>
      </c>
      <c r="O212" s="5" t="s">
        <v>188</v>
      </c>
      <c r="P212" s="1" t="s">
        <v>167</v>
      </c>
      <c r="Q212" s="1" t="s">
        <v>1219</v>
      </c>
      <c r="R212" s="1" t="s">
        <v>1142</v>
      </c>
      <c r="S212" s="1" t="s">
        <v>203</v>
      </c>
      <c r="T212" s="2" t="s">
        <v>90</v>
      </c>
      <c r="U212" s="6"/>
      <c r="V212" s="6"/>
    </row>
    <row r="213" spans="1:22" ht="68" x14ac:dyDescent="0.2">
      <c r="A213" s="20" t="s">
        <v>853</v>
      </c>
      <c r="B213" s="2" t="s">
        <v>793</v>
      </c>
      <c r="C213" s="6" t="s">
        <v>263</v>
      </c>
      <c r="D213" s="6" t="s">
        <v>263</v>
      </c>
      <c r="E213" s="7" t="s">
        <v>687</v>
      </c>
      <c r="F213" s="6">
        <v>1843</v>
      </c>
      <c r="G213" s="6">
        <v>3</v>
      </c>
      <c r="H213" s="7" t="s">
        <v>74</v>
      </c>
      <c r="I213" s="7" t="s">
        <v>1111</v>
      </c>
      <c r="J213" s="7"/>
      <c r="K213" s="7">
        <v>1843</v>
      </c>
      <c r="L213" s="7" t="s">
        <v>1194</v>
      </c>
      <c r="M213" s="7" t="s">
        <v>104</v>
      </c>
      <c r="N213" s="4" t="s">
        <v>187</v>
      </c>
      <c r="O213" s="5" t="s">
        <v>188</v>
      </c>
      <c r="P213" s="1" t="s">
        <v>167</v>
      </c>
      <c r="Q213" s="1" t="s">
        <v>1219</v>
      </c>
      <c r="R213" s="1" t="s">
        <v>1131</v>
      </c>
      <c r="S213" s="1" t="s">
        <v>203</v>
      </c>
      <c r="T213" s="2" t="s">
        <v>90</v>
      </c>
      <c r="U213" s="6"/>
      <c r="V213" s="6"/>
    </row>
    <row r="214" spans="1:22" ht="204" x14ac:dyDescent="0.2">
      <c r="A214" s="20" t="s">
        <v>854</v>
      </c>
      <c r="B214" s="2" t="s">
        <v>794</v>
      </c>
      <c r="C214" s="6" t="s">
        <v>263</v>
      </c>
      <c r="D214" s="6" t="s">
        <v>263</v>
      </c>
      <c r="E214" s="7" t="s">
        <v>795</v>
      </c>
      <c r="F214" s="6">
        <v>1842</v>
      </c>
      <c r="G214" s="6">
        <v>3</v>
      </c>
      <c r="H214" s="7" t="s">
        <v>74</v>
      </c>
      <c r="I214" s="7" t="s">
        <v>1112</v>
      </c>
      <c r="J214" s="7"/>
      <c r="K214" s="7">
        <v>1842</v>
      </c>
      <c r="L214" s="7" t="s">
        <v>1194</v>
      </c>
      <c r="M214" s="7" t="s">
        <v>104</v>
      </c>
      <c r="N214" s="4" t="s">
        <v>187</v>
      </c>
      <c r="O214" s="5" t="s">
        <v>188</v>
      </c>
      <c r="P214" s="1" t="s">
        <v>167</v>
      </c>
      <c r="Q214" s="1" t="s">
        <v>1219</v>
      </c>
      <c r="R214" s="1" t="s">
        <v>1131</v>
      </c>
      <c r="S214" s="1" t="s">
        <v>203</v>
      </c>
      <c r="T214" s="2" t="s">
        <v>90</v>
      </c>
      <c r="U214" s="6"/>
      <c r="V214" s="6"/>
    </row>
    <row r="215" spans="1:22" ht="85" x14ac:dyDescent="0.2">
      <c r="A215" s="20" t="s">
        <v>855</v>
      </c>
      <c r="B215" s="2" t="s">
        <v>797</v>
      </c>
      <c r="C215" s="6" t="s">
        <v>263</v>
      </c>
      <c r="D215" s="6" t="s">
        <v>263</v>
      </c>
      <c r="E215" s="7" t="s">
        <v>687</v>
      </c>
      <c r="F215" s="6">
        <v>1863</v>
      </c>
      <c r="G215" s="6">
        <v>3</v>
      </c>
      <c r="H215" s="7" t="s">
        <v>74</v>
      </c>
      <c r="I215" s="7" t="s">
        <v>796</v>
      </c>
      <c r="J215" s="7"/>
      <c r="K215" s="7">
        <v>1863</v>
      </c>
      <c r="L215" s="7" t="s">
        <v>1190</v>
      </c>
      <c r="M215" s="7" t="s">
        <v>104</v>
      </c>
      <c r="N215" s="4" t="s">
        <v>187</v>
      </c>
      <c r="O215" s="5" t="s">
        <v>188</v>
      </c>
      <c r="P215" s="1" t="s">
        <v>167</v>
      </c>
      <c r="Q215" s="1" t="s">
        <v>1219</v>
      </c>
      <c r="R215" s="1" t="s">
        <v>1134</v>
      </c>
      <c r="S215" s="1" t="s">
        <v>203</v>
      </c>
      <c r="T215" s="2" t="s">
        <v>51</v>
      </c>
      <c r="U215" s="6"/>
      <c r="V215" s="6"/>
    </row>
    <row r="216" spans="1:22" ht="170" x14ac:dyDescent="0.2">
      <c r="A216" s="20" t="s">
        <v>856</v>
      </c>
      <c r="B216" s="2" t="s">
        <v>798</v>
      </c>
      <c r="C216" s="6" t="s">
        <v>263</v>
      </c>
      <c r="D216" s="6" t="s">
        <v>263</v>
      </c>
      <c r="E216" s="7" t="s">
        <v>143</v>
      </c>
      <c r="F216" s="6">
        <v>1843</v>
      </c>
      <c r="G216" s="6">
        <v>3</v>
      </c>
      <c r="H216" s="7" t="s">
        <v>74</v>
      </c>
      <c r="I216" s="7" t="s">
        <v>1113</v>
      </c>
      <c r="J216" s="7"/>
      <c r="K216" s="7">
        <v>1843</v>
      </c>
      <c r="L216" s="7" t="s">
        <v>1194</v>
      </c>
      <c r="M216" s="7" t="s">
        <v>104</v>
      </c>
      <c r="N216" s="4" t="s">
        <v>187</v>
      </c>
      <c r="O216" s="5" t="s">
        <v>188</v>
      </c>
      <c r="P216" s="1" t="s">
        <v>167</v>
      </c>
      <c r="Q216" s="1" t="s">
        <v>1219</v>
      </c>
      <c r="R216" s="1" t="s">
        <v>1140</v>
      </c>
      <c r="S216" s="1" t="s">
        <v>203</v>
      </c>
      <c r="T216" s="2" t="s">
        <v>90</v>
      </c>
      <c r="U216" s="6"/>
      <c r="V216" s="6"/>
    </row>
    <row r="217" spans="1:22" ht="68" x14ac:dyDescent="0.2">
      <c r="A217" s="20" t="s">
        <v>857</v>
      </c>
      <c r="B217" s="2" t="s">
        <v>793</v>
      </c>
      <c r="C217" s="6" t="s">
        <v>263</v>
      </c>
      <c r="D217" s="6" t="s">
        <v>263</v>
      </c>
      <c r="E217" s="7" t="s">
        <v>143</v>
      </c>
      <c r="F217" s="6">
        <v>1843</v>
      </c>
      <c r="G217" s="6">
        <v>3</v>
      </c>
      <c r="H217" s="7" t="s">
        <v>74</v>
      </c>
      <c r="I217" s="7" t="s">
        <v>799</v>
      </c>
      <c r="J217" s="7"/>
      <c r="K217" s="7">
        <v>1843</v>
      </c>
      <c r="L217" s="7" t="s">
        <v>1194</v>
      </c>
      <c r="M217" s="7" t="s">
        <v>104</v>
      </c>
      <c r="N217" s="4" t="s">
        <v>187</v>
      </c>
      <c r="O217" s="5" t="s">
        <v>188</v>
      </c>
      <c r="P217" s="1" t="s">
        <v>167</v>
      </c>
      <c r="Q217" s="1" t="s">
        <v>1219</v>
      </c>
      <c r="R217" s="1" t="s">
        <v>1131</v>
      </c>
      <c r="S217" s="1" t="s">
        <v>203</v>
      </c>
      <c r="T217" s="2" t="s">
        <v>90</v>
      </c>
      <c r="U217" s="6"/>
      <c r="V217" s="6"/>
    </row>
    <row r="218" spans="1:22" ht="51" x14ac:dyDescent="0.2">
      <c r="A218" s="20" t="s">
        <v>858</v>
      </c>
      <c r="B218" s="2" t="s">
        <v>802</v>
      </c>
      <c r="C218" s="6" t="s">
        <v>803</v>
      </c>
      <c r="D218" s="6" t="s">
        <v>804</v>
      </c>
      <c r="E218" s="6" t="s">
        <v>805</v>
      </c>
      <c r="F218" s="6">
        <v>1843</v>
      </c>
      <c r="G218" s="6">
        <v>2</v>
      </c>
      <c r="H218" s="7" t="s">
        <v>74</v>
      </c>
      <c r="I218" s="7" t="s">
        <v>801</v>
      </c>
      <c r="J218" s="7"/>
      <c r="K218" s="7">
        <v>1843</v>
      </c>
      <c r="L218" s="7" t="s">
        <v>1194</v>
      </c>
      <c r="M218" s="7" t="s">
        <v>104</v>
      </c>
      <c r="N218" s="4" t="s">
        <v>187</v>
      </c>
      <c r="O218" s="5" t="s">
        <v>188</v>
      </c>
      <c r="P218" s="1" t="s">
        <v>167</v>
      </c>
      <c r="Q218" s="1" t="s">
        <v>1219</v>
      </c>
      <c r="R218" s="1" t="s">
        <v>1140</v>
      </c>
      <c r="S218" s="1" t="s">
        <v>203</v>
      </c>
      <c r="T218" s="2" t="s">
        <v>90</v>
      </c>
      <c r="U218" s="6"/>
      <c r="V218" s="6"/>
    </row>
    <row r="219" spans="1:22" ht="170" x14ac:dyDescent="0.2">
      <c r="A219" s="20" t="s">
        <v>859</v>
      </c>
      <c r="B219" s="2" t="s">
        <v>807</v>
      </c>
      <c r="C219" s="6" t="s">
        <v>263</v>
      </c>
      <c r="D219" s="6" t="s">
        <v>263</v>
      </c>
      <c r="E219" s="7" t="s">
        <v>808</v>
      </c>
      <c r="F219" s="6">
        <v>1856</v>
      </c>
      <c r="G219" s="6">
        <v>4</v>
      </c>
      <c r="H219" s="7" t="s">
        <v>74</v>
      </c>
      <c r="I219" s="7" t="s">
        <v>1182</v>
      </c>
      <c r="J219" s="7"/>
      <c r="K219" s="7">
        <v>1856</v>
      </c>
      <c r="L219" s="7" t="s">
        <v>1189</v>
      </c>
      <c r="M219" s="7" t="s">
        <v>104</v>
      </c>
      <c r="N219" s="4" t="s">
        <v>187</v>
      </c>
      <c r="O219" s="5" t="s">
        <v>188</v>
      </c>
      <c r="P219" s="1" t="s">
        <v>167</v>
      </c>
      <c r="Q219" s="1" t="s">
        <v>1219</v>
      </c>
      <c r="R219" s="1" t="s">
        <v>1140</v>
      </c>
      <c r="S219" s="1" t="s">
        <v>203</v>
      </c>
      <c r="T219" s="2" t="s">
        <v>90</v>
      </c>
      <c r="U219" s="6"/>
      <c r="V219" s="6"/>
    </row>
    <row r="220" spans="1:22" ht="136" x14ac:dyDescent="0.2">
      <c r="A220" s="20" t="s">
        <v>860</v>
      </c>
      <c r="B220" s="2" t="s">
        <v>809</v>
      </c>
      <c r="C220" s="6" t="s">
        <v>263</v>
      </c>
      <c r="D220" s="6" t="s">
        <v>263</v>
      </c>
      <c r="E220" s="7" t="s">
        <v>693</v>
      </c>
      <c r="F220" s="6">
        <v>1895</v>
      </c>
      <c r="G220" s="6">
        <v>1034</v>
      </c>
      <c r="H220" s="7" t="s">
        <v>74</v>
      </c>
      <c r="I220" s="7" t="s">
        <v>1154</v>
      </c>
      <c r="J220" s="7"/>
      <c r="K220" s="7" t="s">
        <v>1195</v>
      </c>
      <c r="L220" s="7" t="s">
        <v>1197</v>
      </c>
      <c r="M220" s="7" t="s">
        <v>104</v>
      </c>
      <c r="N220" s="4" t="s">
        <v>187</v>
      </c>
      <c r="O220" s="5" t="s">
        <v>188</v>
      </c>
      <c r="P220" s="1" t="s">
        <v>167</v>
      </c>
      <c r="Q220" s="1" t="s">
        <v>1219</v>
      </c>
      <c r="R220" s="1" t="s">
        <v>1151</v>
      </c>
      <c r="S220" s="1" t="s">
        <v>0</v>
      </c>
      <c r="T220" s="2" t="s">
        <v>76</v>
      </c>
      <c r="U220" s="6"/>
      <c r="V220" s="6"/>
    </row>
    <row r="221" spans="1:22" ht="172" customHeight="1" x14ac:dyDescent="0.2">
      <c r="A221" s="20" t="s">
        <v>861</v>
      </c>
      <c r="B221" s="2" t="s">
        <v>794</v>
      </c>
      <c r="C221" s="6" t="s">
        <v>263</v>
      </c>
      <c r="D221" s="6" t="s">
        <v>263</v>
      </c>
      <c r="E221" s="7" t="s">
        <v>810</v>
      </c>
      <c r="F221" s="6">
        <v>1854</v>
      </c>
      <c r="G221" s="6">
        <v>5</v>
      </c>
      <c r="H221" s="7" t="s">
        <v>74</v>
      </c>
      <c r="I221" s="7" t="s">
        <v>1183</v>
      </c>
      <c r="J221" s="7"/>
      <c r="K221" s="7">
        <v>1854</v>
      </c>
      <c r="L221" s="7" t="s">
        <v>1189</v>
      </c>
      <c r="M221" s="7" t="s">
        <v>104</v>
      </c>
      <c r="N221" s="4" t="s">
        <v>187</v>
      </c>
      <c r="O221" s="5" t="s">
        <v>188</v>
      </c>
      <c r="P221" s="1" t="s">
        <v>167</v>
      </c>
      <c r="Q221" s="1" t="s">
        <v>1219</v>
      </c>
      <c r="R221" s="1" t="s">
        <v>1140</v>
      </c>
      <c r="S221" s="7" t="s">
        <v>203</v>
      </c>
      <c r="T221" s="6" t="s">
        <v>51</v>
      </c>
      <c r="U221" s="6"/>
      <c r="V221" s="6"/>
    </row>
    <row r="222" spans="1:22" ht="152" customHeight="1" x14ac:dyDescent="0.2">
      <c r="A222" s="20" t="s">
        <v>862</v>
      </c>
      <c r="B222" s="2" t="s">
        <v>814</v>
      </c>
      <c r="C222" s="6" t="s">
        <v>263</v>
      </c>
      <c r="D222" s="6" t="s">
        <v>263</v>
      </c>
      <c r="E222" s="7" t="s">
        <v>949</v>
      </c>
      <c r="F222" s="6">
        <v>1890</v>
      </c>
      <c r="G222" s="6">
        <v>2</v>
      </c>
      <c r="H222" s="7" t="s">
        <v>74</v>
      </c>
      <c r="I222" s="7" t="s">
        <v>813</v>
      </c>
      <c r="J222" s="7"/>
      <c r="K222" s="7" t="s">
        <v>581</v>
      </c>
      <c r="L222" s="7" t="s">
        <v>1197</v>
      </c>
      <c r="M222" s="7" t="s">
        <v>104</v>
      </c>
      <c r="N222" s="7">
        <v>-29.9569010805773</v>
      </c>
      <c r="O222" s="16">
        <v>148.10957831190601</v>
      </c>
      <c r="P222" s="7" t="s">
        <v>167</v>
      </c>
      <c r="Q222" s="7" t="s">
        <v>1219</v>
      </c>
      <c r="R222" s="1" t="s">
        <v>1131</v>
      </c>
      <c r="S222" s="7" t="s">
        <v>66</v>
      </c>
      <c r="T222" s="6" t="s">
        <v>66</v>
      </c>
      <c r="U222" s="6"/>
      <c r="V222" s="6"/>
    </row>
    <row r="223" spans="1:22" ht="68" x14ac:dyDescent="0.2">
      <c r="A223" s="20" t="s">
        <v>863</v>
      </c>
      <c r="B223" s="2" t="s">
        <v>945</v>
      </c>
      <c r="C223" s="6" t="s">
        <v>263</v>
      </c>
      <c r="D223" s="6" t="s">
        <v>263</v>
      </c>
      <c r="E223" s="7" t="s">
        <v>944</v>
      </c>
      <c r="F223" s="6">
        <v>1885</v>
      </c>
      <c r="G223" s="6">
        <v>493</v>
      </c>
      <c r="H223" s="7" t="s">
        <v>74</v>
      </c>
      <c r="I223" s="7" t="s">
        <v>688</v>
      </c>
      <c r="J223" s="7" t="s">
        <v>689</v>
      </c>
      <c r="K223" s="7">
        <v>1885</v>
      </c>
      <c r="L223" s="7" t="s">
        <v>1193</v>
      </c>
      <c r="M223" s="7" t="s">
        <v>298</v>
      </c>
      <c r="N223" s="4" t="s">
        <v>324</v>
      </c>
      <c r="O223" s="5" t="s">
        <v>323</v>
      </c>
      <c r="P223" s="1" t="s">
        <v>167</v>
      </c>
      <c r="Q223" s="1" t="s">
        <v>1219</v>
      </c>
      <c r="R223" s="1" t="s">
        <v>1131</v>
      </c>
      <c r="S223" s="7" t="s">
        <v>66</v>
      </c>
      <c r="T223" s="6" t="s">
        <v>66</v>
      </c>
      <c r="U223" s="6"/>
      <c r="V223" s="6"/>
    </row>
    <row r="224" spans="1:22" ht="85" x14ac:dyDescent="0.2">
      <c r="A224" s="20" t="s">
        <v>864</v>
      </c>
      <c r="B224" s="2" t="s">
        <v>673</v>
      </c>
      <c r="C224" s="6" t="s">
        <v>674</v>
      </c>
      <c r="D224" s="6" t="s">
        <v>675</v>
      </c>
      <c r="E224" s="7" t="s">
        <v>958</v>
      </c>
      <c r="F224" s="6">
        <v>1892</v>
      </c>
      <c r="G224" s="6">
        <v>3</v>
      </c>
      <c r="H224" s="7" t="s">
        <v>74</v>
      </c>
      <c r="I224" s="7" t="s">
        <v>677</v>
      </c>
      <c r="J224" s="7" t="s">
        <v>679</v>
      </c>
      <c r="K224" s="7">
        <v>1892</v>
      </c>
      <c r="L224" s="7" t="s">
        <v>1191</v>
      </c>
      <c r="M224" s="7" t="s">
        <v>678</v>
      </c>
      <c r="N224" s="4" t="s">
        <v>1254</v>
      </c>
      <c r="O224" s="3">
        <v>147.46516</v>
      </c>
      <c r="P224" s="1" t="s">
        <v>1246</v>
      </c>
      <c r="Q224" s="1" t="s">
        <v>1219</v>
      </c>
      <c r="R224" s="1" t="s">
        <v>1134</v>
      </c>
      <c r="S224" s="7" t="s">
        <v>203</v>
      </c>
      <c r="T224" s="6" t="s">
        <v>51</v>
      </c>
      <c r="U224" s="6"/>
      <c r="V224" s="6"/>
    </row>
    <row r="225" spans="1:22" ht="102" x14ac:dyDescent="0.2">
      <c r="A225" s="20" t="s">
        <v>865</v>
      </c>
      <c r="B225" s="2" t="s">
        <v>776</v>
      </c>
      <c r="C225" s="6" t="s">
        <v>263</v>
      </c>
      <c r="D225" s="6" t="s">
        <v>263</v>
      </c>
      <c r="E225" s="7" t="s">
        <v>777</v>
      </c>
      <c r="F225" s="6">
        <v>1893</v>
      </c>
      <c r="G225" s="6">
        <v>2</v>
      </c>
      <c r="H225" s="7" t="s">
        <v>74</v>
      </c>
      <c r="I225" s="7" t="s">
        <v>774</v>
      </c>
      <c r="J225" s="7"/>
      <c r="K225" s="7">
        <v>1893</v>
      </c>
      <c r="L225" s="7" t="s">
        <v>1191</v>
      </c>
      <c r="M225" s="7" t="s">
        <v>775</v>
      </c>
      <c r="N225" s="1">
        <v>-29.029992680724199</v>
      </c>
      <c r="O225" s="3">
        <v>147.31329677169501</v>
      </c>
      <c r="P225" s="1" t="s">
        <v>167</v>
      </c>
      <c r="Q225" s="1" t="s">
        <v>1219</v>
      </c>
      <c r="R225" s="1" t="s">
        <v>1134</v>
      </c>
      <c r="S225" s="7" t="s">
        <v>203</v>
      </c>
      <c r="T225" s="6" t="s">
        <v>51</v>
      </c>
      <c r="U225" s="6"/>
      <c r="V225" s="6"/>
    </row>
    <row r="226" spans="1:22" ht="51" x14ac:dyDescent="0.2">
      <c r="A226" s="20" t="s">
        <v>866</v>
      </c>
      <c r="B226" s="2" t="s">
        <v>671</v>
      </c>
      <c r="C226" s="6" t="s">
        <v>672</v>
      </c>
      <c r="D226" s="6" t="s">
        <v>676</v>
      </c>
      <c r="E226" s="7" t="s">
        <v>143</v>
      </c>
      <c r="F226" s="6">
        <v>1885</v>
      </c>
      <c r="G226" s="6">
        <v>5</v>
      </c>
      <c r="H226" s="7" t="s">
        <v>74</v>
      </c>
      <c r="I226" s="7" t="s">
        <v>670</v>
      </c>
      <c r="J226" s="7"/>
      <c r="K226" s="7">
        <v>1885</v>
      </c>
      <c r="L226" s="7" t="s">
        <v>1193</v>
      </c>
      <c r="M226" s="7" t="s">
        <v>36</v>
      </c>
      <c r="N226" s="4" t="s">
        <v>12</v>
      </c>
      <c r="O226" s="5">
        <v>146.85613215622399</v>
      </c>
      <c r="P226" s="1" t="s">
        <v>167</v>
      </c>
      <c r="Q226" s="1" t="s">
        <v>1219</v>
      </c>
      <c r="R226" s="1" t="s">
        <v>1146</v>
      </c>
      <c r="S226" s="7" t="s">
        <v>203</v>
      </c>
      <c r="T226" s="6" t="s">
        <v>135</v>
      </c>
      <c r="U226" s="6"/>
      <c r="V226" s="6"/>
    </row>
    <row r="227" spans="1:22" ht="153" x14ac:dyDescent="0.2">
      <c r="A227" s="20" t="s">
        <v>867</v>
      </c>
      <c r="B227" s="2" t="s">
        <v>710</v>
      </c>
      <c r="C227" s="6" t="s">
        <v>263</v>
      </c>
      <c r="D227" s="6" t="s">
        <v>263</v>
      </c>
      <c r="E227" s="7" t="s">
        <v>687</v>
      </c>
      <c r="F227" s="6">
        <v>1876</v>
      </c>
      <c r="G227" s="6">
        <v>7</v>
      </c>
      <c r="H227" s="7" t="s">
        <v>74</v>
      </c>
      <c r="I227" s="7" t="s">
        <v>1114</v>
      </c>
      <c r="J227" s="7"/>
      <c r="K227" s="7">
        <v>1876</v>
      </c>
      <c r="L227" s="7" t="s">
        <v>1192</v>
      </c>
      <c r="M227" s="7" t="s">
        <v>36</v>
      </c>
      <c r="N227" s="7">
        <v>-29.9611513115645</v>
      </c>
      <c r="O227" s="16">
        <v>146.85613215622399</v>
      </c>
      <c r="P227" s="7" t="s">
        <v>167</v>
      </c>
      <c r="Q227" s="7" t="s">
        <v>1219</v>
      </c>
      <c r="R227" s="1" t="s">
        <v>1131</v>
      </c>
      <c r="S227" s="7" t="s">
        <v>203</v>
      </c>
      <c r="T227" s="6" t="s">
        <v>135</v>
      </c>
      <c r="U227" s="6"/>
      <c r="V227" s="6"/>
    </row>
    <row r="228" spans="1:22" ht="238" x14ac:dyDescent="0.2">
      <c r="A228" s="20" t="s">
        <v>868</v>
      </c>
      <c r="B228" s="2" t="s">
        <v>713</v>
      </c>
      <c r="C228" s="6" t="s">
        <v>263</v>
      </c>
      <c r="D228" s="6" t="s">
        <v>263</v>
      </c>
      <c r="E228" s="7" t="s">
        <v>950</v>
      </c>
      <c r="F228" s="6">
        <v>1894</v>
      </c>
      <c r="G228" s="6">
        <v>3</v>
      </c>
      <c r="H228" s="7" t="s">
        <v>74</v>
      </c>
      <c r="I228" s="7" t="s">
        <v>1171</v>
      </c>
      <c r="J228" s="7"/>
      <c r="K228" s="7">
        <v>1894</v>
      </c>
      <c r="L228" s="7" t="s">
        <v>1191</v>
      </c>
      <c r="M228" s="7" t="s">
        <v>36</v>
      </c>
      <c r="N228" s="7">
        <v>-29.9611513115645</v>
      </c>
      <c r="O228" s="16">
        <v>146.85613215622399</v>
      </c>
      <c r="P228" s="7" t="s">
        <v>167</v>
      </c>
      <c r="Q228" s="7" t="s">
        <v>1219</v>
      </c>
      <c r="R228" s="1" t="s">
        <v>1131</v>
      </c>
      <c r="S228" s="7" t="s">
        <v>66</v>
      </c>
      <c r="T228" s="6" t="s">
        <v>66</v>
      </c>
      <c r="U228" s="6"/>
      <c r="V228" s="6"/>
    </row>
    <row r="229" spans="1:22" ht="102" x14ac:dyDescent="0.2">
      <c r="A229" s="20" t="s">
        <v>869</v>
      </c>
      <c r="B229" s="2" t="s">
        <v>778</v>
      </c>
      <c r="C229" s="6" t="s">
        <v>263</v>
      </c>
      <c r="D229" s="6" t="s">
        <v>263</v>
      </c>
      <c r="E229" s="7" t="s">
        <v>746</v>
      </c>
      <c r="F229" s="6">
        <v>1893</v>
      </c>
      <c r="G229" s="6">
        <v>1</v>
      </c>
      <c r="H229" s="7" t="s">
        <v>74</v>
      </c>
      <c r="I229" s="7" t="s">
        <v>1153</v>
      </c>
      <c r="J229" s="7"/>
      <c r="K229" s="7">
        <v>1893</v>
      </c>
      <c r="L229" s="7" t="s">
        <v>1191</v>
      </c>
      <c r="M229" s="7" t="s">
        <v>36</v>
      </c>
      <c r="N229" s="7">
        <v>-29.9611513115645</v>
      </c>
      <c r="O229" s="16">
        <v>146.85613215622399</v>
      </c>
      <c r="P229" s="7" t="s">
        <v>167</v>
      </c>
      <c r="Q229" s="7" t="s">
        <v>1219</v>
      </c>
      <c r="R229" s="1" t="s">
        <v>1134</v>
      </c>
      <c r="S229" s="7" t="s">
        <v>203</v>
      </c>
      <c r="T229" s="6" t="s">
        <v>51</v>
      </c>
      <c r="U229" s="6"/>
      <c r="V229" s="6"/>
    </row>
    <row r="230" spans="1:22" ht="119" x14ac:dyDescent="0.2">
      <c r="A230" s="20" t="s">
        <v>870</v>
      </c>
      <c r="B230" s="2" t="s">
        <v>789</v>
      </c>
      <c r="C230" s="6" t="s">
        <v>263</v>
      </c>
      <c r="D230" s="6" t="s">
        <v>263</v>
      </c>
      <c r="E230" s="7" t="s">
        <v>790</v>
      </c>
      <c r="F230" s="6">
        <v>1888</v>
      </c>
      <c r="G230" s="6">
        <v>4</v>
      </c>
      <c r="H230" s="7" t="s">
        <v>74</v>
      </c>
      <c r="I230" s="7" t="s">
        <v>788</v>
      </c>
      <c r="J230" s="7"/>
      <c r="K230" s="7">
        <v>1888</v>
      </c>
      <c r="L230" s="7" t="s">
        <v>1193</v>
      </c>
      <c r="M230" s="7" t="s">
        <v>36</v>
      </c>
      <c r="N230" s="7">
        <v>-29.9611513115645</v>
      </c>
      <c r="O230" s="16">
        <v>146.85613215622399</v>
      </c>
      <c r="P230" s="7" t="s">
        <v>167</v>
      </c>
      <c r="Q230" s="7" t="s">
        <v>1219</v>
      </c>
      <c r="R230" s="1" t="s">
        <v>1142</v>
      </c>
      <c r="S230" s="7" t="s">
        <v>203</v>
      </c>
      <c r="T230" s="6" t="s">
        <v>135</v>
      </c>
      <c r="U230" s="6"/>
      <c r="V230" s="6"/>
    </row>
    <row r="231" spans="1:22" ht="85" x14ac:dyDescent="0.2">
      <c r="A231" s="20" t="s">
        <v>871</v>
      </c>
      <c r="B231" s="2" t="s">
        <v>800</v>
      </c>
      <c r="C231" s="6" t="s">
        <v>263</v>
      </c>
      <c r="D231" s="6" t="s">
        <v>263</v>
      </c>
      <c r="E231" s="7" t="s">
        <v>951</v>
      </c>
      <c r="F231" s="6">
        <v>1864</v>
      </c>
      <c r="G231" s="6">
        <v>3</v>
      </c>
      <c r="H231" s="7" t="s">
        <v>74</v>
      </c>
      <c r="I231" s="7" t="s">
        <v>844</v>
      </c>
      <c r="J231" s="7"/>
      <c r="K231" s="7">
        <v>1863</v>
      </c>
      <c r="L231" s="7" t="s">
        <v>1190</v>
      </c>
      <c r="M231" s="7" t="s">
        <v>36</v>
      </c>
      <c r="N231" s="7">
        <v>-29.9611513115645</v>
      </c>
      <c r="O231" s="16">
        <v>146.85613215622399</v>
      </c>
      <c r="P231" s="7" t="s">
        <v>167</v>
      </c>
      <c r="Q231" s="7" t="s">
        <v>1219</v>
      </c>
      <c r="R231" s="1" t="s">
        <v>1135</v>
      </c>
      <c r="S231" s="7" t="s">
        <v>203</v>
      </c>
      <c r="T231" s="6" t="s">
        <v>51</v>
      </c>
      <c r="U231" s="6"/>
      <c r="V231" s="6"/>
    </row>
    <row r="232" spans="1:22" ht="170" x14ac:dyDescent="0.2">
      <c r="A232" s="20" t="s">
        <v>872</v>
      </c>
      <c r="B232" s="2" t="s">
        <v>946</v>
      </c>
      <c r="C232" s="6" t="s">
        <v>263</v>
      </c>
      <c r="D232" s="6" t="s">
        <v>263</v>
      </c>
      <c r="E232" s="6" t="s">
        <v>146</v>
      </c>
      <c r="F232" s="6">
        <v>1881</v>
      </c>
      <c r="G232" s="6">
        <v>2</v>
      </c>
      <c r="H232" s="7" t="s">
        <v>74</v>
      </c>
      <c r="I232" s="7" t="s">
        <v>1147</v>
      </c>
      <c r="J232" s="7"/>
      <c r="K232" s="7">
        <v>1881</v>
      </c>
      <c r="L232" s="7" t="s">
        <v>1193</v>
      </c>
      <c r="M232" s="1" t="s">
        <v>1271</v>
      </c>
      <c r="N232" s="4" t="s">
        <v>198</v>
      </c>
      <c r="O232" s="5" t="s">
        <v>199</v>
      </c>
      <c r="P232" s="1" t="s">
        <v>167</v>
      </c>
      <c r="Q232" s="1" t="s">
        <v>1218</v>
      </c>
      <c r="R232" s="1" t="s">
        <v>1151</v>
      </c>
      <c r="S232" s="7" t="s">
        <v>247</v>
      </c>
      <c r="T232" s="6" t="s">
        <v>89</v>
      </c>
      <c r="U232" s="6"/>
      <c r="V232" s="6"/>
    </row>
    <row r="233" spans="1:22" ht="102" x14ac:dyDescent="0.2">
      <c r="A233" s="20" t="s">
        <v>873</v>
      </c>
      <c r="B233" s="2" t="s">
        <v>710</v>
      </c>
      <c r="C233" s="6" t="s">
        <v>263</v>
      </c>
      <c r="D233" s="6" t="s">
        <v>263</v>
      </c>
      <c r="E233" s="7" t="s">
        <v>687</v>
      </c>
      <c r="F233" s="6">
        <v>1872</v>
      </c>
      <c r="G233" s="6">
        <v>3</v>
      </c>
      <c r="H233" s="7" t="s">
        <v>74</v>
      </c>
      <c r="I233" s="7" t="s">
        <v>711</v>
      </c>
      <c r="J233" s="7"/>
      <c r="K233" s="7">
        <v>1872</v>
      </c>
      <c r="L233" s="7" t="s">
        <v>1192</v>
      </c>
      <c r="M233" s="1" t="s">
        <v>1271</v>
      </c>
      <c r="N233" s="4" t="s">
        <v>198</v>
      </c>
      <c r="O233" s="5" t="s">
        <v>199</v>
      </c>
      <c r="P233" s="1" t="s">
        <v>167</v>
      </c>
      <c r="Q233" s="1" t="s">
        <v>1218</v>
      </c>
      <c r="R233" s="1" t="s">
        <v>1139</v>
      </c>
      <c r="S233" s="7" t="s">
        <v>247</v>
      </c>
      <c r="T233" s="6" t="s">
        <v>89</v>
      </c>
      <c r="U233" s="6"/>
      <c r="V233" s="6"/>
    </row>
    <row r="234" spans="1:22" ht="34" x14ac:dyDescent="0.2">
      <c r="A234" s="20" t="s">
        <v>874</v>
      </c>
      <c r="B234" s="2" t="s">
        <v>710</v>
      </c>
      <c r="C234" s="6" t="s">
        <v>263</v>
      </c>
      <c r="D234" s="6" t="s">
        <v>263</v>
      </c>
      <c r="E234" s="7" t="s">
        <v>687</v>
      </c>
      <c r="F234" s="6">
        <v>1876</v>
      </c>
      <c r="G234" s="6">
        <v>7</v>
      </c>
      <c r="H234" s="7" t="s">
        <v>74</v>
      </c>
      <c r="I234" s="7" t="s">
        <v>1115</v>
      </c>
      <c r="J234" s="7"/>
      <c r="K234" s="7">
        <v>1876</v>
      </c>
      <c r="L234" s="7" t="s">
        <v>1192</v>
      </c>
      <c r="M234" s="1" t="s">
        <v>1271</v>
      </c>
      <c r="N234" s="4" t="s">
        <v>198</v>
      </c>
      <c r="O234" s="5" t="s">
        <v>199</v>
      </c>
      <c r="P234" s="1" t="s">
        <v>167</v>
      </c>
      <c r="Q234" s="1" t="s">
        <v>1218</v>
      </c>
      <c r="R234" s="1" t="s">
        <v>1139</v>
      </c>
      <c r="S234" s="7" t="s">
        <v>247</v>
      </c>
      <c r="T234" s="6" t="s">
        <v>89</v>
      </c>
      <c r="U234" s="6"/>
      <c r="V234" s="6"/>
    </row>
    <row r="235" spans="1:22" ht="85" x14ac:dyDescent="0.2">
      <c r="A235" s="20" t="s">
        <v>875</v>
      </c>
      <c r="B235" s="2" t="s">
        <v>710</v>
      </c>
      <c r="C235" s="6" t="s">
        <v>263</v>
      </c>
      <c r="D235" s="6" t="s">
        <v>263</v>
      </c>
      <c r="E235" s="7" t="s">
        <v>947</v>
      </c>
      <c r="F235" s="6">
        <v>1892</v>
      </c>
      <c r="G235" s="6">
        <v>15</v>
      </c>
      <c r="H235" s="7" t="s">
        <v>74</v>
      </c>
      <c r="I235" s="7" t="s">
        <v>712</v>
      </c>
      <c r="J235" s="7"/>
      <c r="K235" s="7">
        <v>1892</v>
      </c>
      <c r="L235" s="7" t="s">
        <v>1191</v>
      </c>
      <c r="M235" s="1" t="s">
        <v>1271</v>
      </c>
      <c r="N235" s="4" t="s">
        <v>198</v>
      </c>
      <c r="O235" s="5" t="s">
        <v>199</v>
      </c>
      <c r="P235" s="1" t="s">
        <v>167</v>
      </c>
      <c r="Q235" s="1" t="s">
        <v>1218</v>
      </c>
      <c r="R235" s="1" t="s">
        <v>1139</v>
      </c>
      <c r="S235" s="7" t="s">
        <v>247</v>
      </c>
      <c r="T235" s="6" t="s">
        <v>89</v>
      </c>
      <c r="U235" s="6"/>
      <c r="V235" s="6"/>
    </row>
    <row r="236" spans="1:22" ht="102" x14ac:dyDescent="0.2">
      <c r="A236" s="20" t="s">
        <v>876</v>
      </c>
      <c r="B236" s="2" t="s">
        <v>710</v>
      </c>
      <c r="C236" s="6" t="s">
        <v>263</v>
      </c>
      <c r="D236" s="6" t="s">
        <v>263</v>
      </c>
      <c r="E236" s="7" t="s">
        <v>947</v>
      </c>
      <c r="F236" s="6">
        <v>1874</v>
      </c>
      <c r="G236" s="6">
        <v>35</v>
      </c>
      <c r="H236" s="7" t="s">
        <v>74</v>
      </c>
      <c r="I236" s="7" t="s">
        <v>1156</v>
      </c>
      <c r="J236" s="7"/>
      <c r="K236" s="7">
        <v>1874</v>
      </c>
      <c r="L236" s="7" t="s">
        <v>1192</v>
      </c>
      <c r="M236" s="1" t="s">
        <v>1271</v>
      </c>
      <c r="N236" s="4" t="s">
        <v>198</v>
      </c>
      <c r="O236" s="5" t="s">
        <v>199</v>
      </c>
      <c r="P236" s="1" t="s">
        <v>167</v>
      </c>
      <c r="Q236" s="1" t="s">
        <v>1218</v>
      </c>
      <c r="R236" s="1" t="s">
        <v>1139</v>
      </c>
      <c r="S236" s="7" t="s">
        <v>247</v>
      </c>
      <c r="T236" s="6" t="s">
        <v>89</v>
      </c>
      <c r="U236" s="6"/>
      <c r="V236" s="6"/>
    </row>
    <row r="237" spans="1:22" ht="85" x14ac:dyDescent="0.2">
      <c r="A237" s="20" t="s">
        <v>877</v>
      </c>
      <c r="B237" s="2" t="s">
        <v>704</v>
      </c>
      <c r="C237" s="6" t="s">
        <v>705</v>
      </c>
      <c r="D237" s="6" t="s">
        <v>706</v>
      </c>
      <c r="E237" s="7" t="s">
        <v>707</v>
      </c>
      <c r="F237" s="6">
        <v>1893</v>
      </c>
      <c r="G237" s="6">
        <v>1</v>
      </c>
      <c r="H237" s="7"/>
      <c r="I237" s="7" t="s">
        <v>703</v>
      </c>
      <c r="J237" s="7"/>
      <c r="K237" s="7">
        <v>1893</v>
      </c>
      <c r="L237" s="7" t="s">
        <v>1191</v>
      </c>
      <c r="M237" s="7" t="s">
        <v>121</v>
      </c>
      <c r="N237" s="4" t="s">
        <v>122</v>
      </c>
      <c r="O237" s="5" t="s">
        <v>123</v>
      </c>
      <c r="P237" s="1" t="s">
        <v>167</v>
      </c>
      <c r="Q237" s="1" t="s">
        <v>220</v>
      </c>
      <c r="R237" s="1" t="s">
        <v>1135</v>
      </c>
      <c r="S237" s="7" t="s">
        <v>203</v>
      </c>
      <c r="T237" s="6" t="s">
        <v>37</v>
      </c>
      <c r="U237" s="6"/>
      <c r="V237" s="6"/>
    </row>
    <row r="238" spans="1:22" ht="102" x14ac:dyDescent="0.2">
      <c r="A238" s="20" t="s">
        <v>878</v>
      </c>
      <c r="B238" s="2" t="s">
        <v>708</v>
      </c>
      <c r="C238" s="6" t="s">
        <v>263</v>
      </c>
      <c r="D238" s="6" t="s">
        <v>263</v>
      </c>
      <c r="E238" s="7" t="s">
        <v>709</v>
      </c>
      <c r="F238" s="6">
        <v>1892</v>
      </c>
      <c r="G238" s="6">
        <v>4</v>
      </c>
      <c r="H238" s="7" t="s">
        <v>74</v>
      </c>
      <c r="I238" s="7" t="s">
        <v>1116</v>
      </c>
      <c r="J238" s="7"/>
      <c r="K238" s="7">
        <v>1892</v>
      </c>
      <c r="L238" s="7" t="s">
        <v>1191</v>
      </c>
      <c r="M238" s="7" t="s">
        <v>121</v>
      </c>
      <c r="N238" s="4" t="s">
        <v>122</v>
      </c>
      <c r="O238" s="5" t="s">
        <v>123</v>
      </c>
      <c r="P238" s="1" t="s">
        <v>167</v>
      </c>
      <c r="Q238" s="1" t="s">
        <v>220</v>
      </c>
      <c r="R238" s="1" t="s">
        <v>1135</v>
      </c>
      <c r="S238" s="7" t="s">
        <v>203</v>
      </c>
      <c r="T238" s="6" t="s">
        <v>37</v>
      </c>
      <c r="U238" s="6"/>
      <c r="V238" s="6"/>
    </row>
    <row r="239" spans="1:22" ht="204" x14ac:dyDescent="0.2">
      <c r="A239" s="20" t="s">
        <v>879</v>
      </c>
      <c r="B239" s="2" t="s">
        <v>710</v>
      </c>
      <c r="C239" s="6" t="s">
        <v>263</v>
      </c>
      <c r="D239" s="6" t="s">
        <v>263</v>
      </c>
      <c r="E239" s="7" t="s">
        <v>950</v>
      </c>
      <c r="F239" s="6">
        <v>1897</v>
      </c>
      <c r="G239" s="6">
        <v>2</v>
      </c>
      <c r="H239" s="7" t="s">
        <v>74</v>
      </c>
      <c r="I239" s="7" t="s">
        <v>1234</v>
      </c>
      <c r="J239" s="7"/>
      <c r="K239" s="7">
        <v>1897</v>
      </c>
      <c r="L239" s="7" t="s">
        <v>1191</v>
      </c>
      <c r="M239" s="7" t="s">
        <v>121</v>
      </c>
      <c r="N239" s="4" t="s">
        <v>122</v>
      </c>
      <c r="O239" s="5" t="s">
        <v>123</v>
      </c>
      <c r="P239" s="1" t="s">
        <v>167</v>
      </c>
      <c r="Q239" s="1" t="s">
        <v>220</v>
      </c>
      <c r="R239" s="1" t="s">
        <v>1131</v>
      </c>
      <c r="S239" s="7" t="s">
        <v>203</v>
      </c>
      <c r="T239" s="6" t="s">
        <v>37</v>
      </c>
      <c r="U239" s="6"/>
      <c r="V239" s="6"/>
    </row>
    <row r="240" spans="1:22" ht="153" x14ac:dyDescent="0.2">
      <c r="A240" s="20" t="s">
        <v>880</v>
      </c>
      <c r="B240" s="2" t="s">
        <v>714</v>
      </c>
      <c r="C240" s="6" t="s">
        <v>263</v>
      </c>
      <c r="D240" s="6" t="s">
        <v>263</v>
      </c>
      <c r="E240" s="7" t="s">
        <v>140</v>
      </c>
      <c r="F240" s="6">
        <v>1888</v>
      </c>
      <c r="G240" s="6">
        <v>5</v>
      </c>
      <c r="H240" s="7" t="s">
        <v>74</v>
      </c>
      <c r="I240" s="7" t="s">
        <v>1148</v>
      </c>
      <c r="J240" s="7"/>
      <c r="K240" s="7">
        <v>1888</v>
      </c>
      <c r="L240" s="7" t="s">
        <v>1193</v>
      </c>
      <c r="M240" s="7" t="s">
        <v>121</v>
      </c>
      <c r="N240" s="4" t="s">
        <v>122</v>
      </c>
      <c r="O240" s="5" t="s">
        <v>123</v>
      </c>
      <c r="P240" s="1" t="s">
        <v>167</v>
      </c>
      <c r="Q240" s="1" t="s">
        <v>220</v>
      </c>
      <c r="R240" s="1" t="s">
        <v>1134</v>
      </c>
      <c r="S240" s="7" t="s">
        <v>203</v>
      </c>
      <c r="T240" s="6" t="s">
        <v>37</v>
      </c>
      <c r="U240" s="6"/>
      <c r="V240" s="6"/>
    </row>
    <row r="241" spans="1:22" ht="153" x14ac:dyDescent="0.2">
      <c r="A241" s="20" t="s">
        <v>881</v>
      </c>
      <c r="B241" s="2" t="s">
        <v>715</v>
      </c>
      <c r="C241" s="6" t="s">
        <v>263</v>
      </c>
      <c r="D241" s="6" t="s">
        <v>263</v>
      </c>
      <c r="E241" s="7" t="s">
        <v>955</v>
      </c>
      <c r="F241" s="6">
        <v>1900</v>
      </c>
      <c r="G241" s="6">
        <v>18</v>
      </c>
      <c r="H241" s="7" t="s">
        <v>74</v>
      </c>
      <c r="I241" s="7" t="s">
        <v>1117</v>
      </c>
      <c r="J241" s="7"/>
      <c r="K241" s="7">
        <v>1900</v>
      </c>
      <c r="L241" s="1">
        <v>1900</v>
      </c>
      <c r="M241" s="7" t="s">
        <v>121</v>
      </c>
      <c r="N241" s="4" t="s">
        <v>122</v>
      </c>
      <c r="O241" s="5" t="s">
        <v>123</v>
      </c>
      <c r="P241" s="1" t="s">
        <v>167</v>
      </c>
      <c r="Q241" s="1" t="s">
        <v>220</v>
      </c>
      <c r="R241" s="1" t="s">
        <v>1132</v>
      </c>
      <c r="S241" s="7" t="s">
        <v>203</v>
      </c>
      <c r="T241" s="6" t="s">
        <v>37</v>
      </c>
      <c r="U241" s="6"/>
      <c r="V241" s="6"/>
    </row>
    <row r="242" spans="1:22" ht="153" x14ac:dyDescent="0.2">
      <c r="A242" s="20" t="s">
        <v>882</v>
      </c>
      <c r="B242" s="2" t="s">
        <v>717</v>
      </c>
      <c r="C242" s="6" t="s">
        <v>263</v>
      </c>
      <c r="D242" s="6" t="s">
        <v>263</v>
      </c>
      <c r="E242" s="7" t="s">
        <v>954</v>
      </c>
      <c r="F242" s="6">
        <v>1889</v>
      </c>
      <c r="G242" s="6">
        <v>4</v>
      </c>
      <c r="H242" s="7" t="s">
        <v>74</v>
      </c>
      <c r="I242" s="7" t="s">
        <v>716</v>
      </c>
      <c r="J242" s="7"/>
      <c r="K242" s="7">
        <v>1889</v>
      </c>
      <c r="L242" s="7" t="s">
        <v>1193</v>
      </c>
      <c r="M242" s="7" t="s">
        <v>121</v>
      </c>
      <c r="N242" s="4" t="s">
        <v>122</v>
      </c>
      <c r="O242" s="5" t="s">
        <v>123</v>
      </c>
      <c r="P242" s="1" t="s">
        <v>167</v>
      </c>
      <c r="Q242" s="1" t="s">
        <v>220</v>
      </c>
      <c r="R242" s="1" t="s">
        <v>1134</v>
      </c>
      <c r="S242" s="7" t="s">
        <v>203</v>
      </c>
      <c r="T242" s="6" t="s">
        <v>37</v>
      </c>
      <c r="U242" s="6"/>
      <c r="V242" s="6"/>
    </row>
    <row r="243" spans="1:22" ht="136" x14ac:dyDescent="0.2">
      <c r="A243" s="20" t="s">
        <v>883</v>
      </c>
      <c r="B243" s="2" t="s">
        <v>718</v>
      </c>
      <c r="C243" s="6" t="s">
        <v>263</v>
      </c>
      <c r="D243" s="6" t="s">
        <v>263</v>
      </c>
      <c r="E243" s="7" t="s">
        <v>140</v>
      </c>
      <c r="F243" s="6">
        <v>1900</v>
      </c>
      <c r="G243" s="6">
        <v>6</v>
      </c>
      <c r="H243" s="7" t="s">
        <v>74</v>
      </c>
      <c r="I243" s="7" t="s">
        <v>719</v>
      </c>
      <c r="J243" s="7"/>
      <c r="K243" s="7">
        <v>1900</v>
      </c>
      <c r="L243" s="1">
        <v>1900</v>
      </c>
      <c r="M243" s="7" t="s">
        <v>121</v>
      </c>
      <c r="N243" s="4" t="s">
        <v>122</v>
      </c>
      <c r="O243" s="5" t="s">
        <v>123</v>
      </c>
      <c r="P243" s="1" t="s">
        <v>167</v>
      </c>
      <c r="Q243" s="1" t="s">
        <v>220</v>
      </c>
      <c r="R243" s="1" t="s">
        <v>1132</v>
      </c>
      <c r="S243" s="7" t="s">
        <v>203</v>
      </c>
      <c r="T243" s="6" t="s">
        <v>37</v>
      </c>
      <c r="U243" s="6"/>
      <c r="V243" s="6"/>
    </row>
    <row r="244" spans="1:22" ht="51" x14ac:dyDescent="0.2">
      <c r="A244" s="20" t="s">
        <v>884</v>
      </c>
      <c r="B244" s="2" t="s">
        <v>718</v>
      </c>
      <c r="C244" s="6" t="s">
        <v>263</v>
      </c>
      <c r="D244" s="6" t="s">
        <v>263</v>
      </c>
      <c r="E244" s="7" t="s">
        <v>140</v>
      </c>
      <c r="F244" s="6">
        <v>1900</v>
      </c>
      <c r="G244" s="6">
        <v>3</v>
      </c>
      <c r="H244" s="7" t="s">
        <v>74</v>
      </c>
      <c r="I244" s="7" t="s">
        <v>720</v>
      </c>
      <c r="J244" s="7"/>
      <c r="K244" s="7">
        <v>1900</v>
      </c>
      <c r="L244" s="1">
        <v>1900</v>
      </c>
      <c r="M244" s="7" t="s">
        <v>121</v>
      </c>
      <c r="N244" s="4" t="s">
        <v>122</v>
      </c>
      <c r="O244" s="5" t="s">
        <v>123</v>
      </c>
      <c r="P244" s="1" t="s">
        <v>167</v>
      </c>
      <c r="Q244" s="1" t="s">
        <v>220</v>
      </c>
      <c r="R244" s="1" t="s">
        <v>1132</v>
      </c>
      <c r="S244" s="7" t="s">
        <v>203</v>
      </c>
      <c r="T244" s="6" t="s">
        <v>37</v>
      </c>
      <c r="U244" s="6"/>
      <c r="V244" s="6"/>
    </row>
    <row r="245" spans="1:22" ht="102" x14ac:dyDescent="0.2">
      <c r="A245" s="20" t="s">
        <v>885</v>
      </c>
      <c r="B245" s="2" t="s">
        <v>722</v>
      </c>
      <c r="C245" s="6" t="s">
        <v>263</v>
      </c>
      <c r="D245" s="6" t="s">
        <v>263</v>
      </c>
      <c r="E245" s="7" t="s">
        <v>723</v>
      </c>
      <c r="F245" s="6">
        <v>1900</v>
      </c>
      <c r="G245" s="6">
        <v>3</v>
      </c>
      <c r="H245" s="7" t="s">
        <v>74</v>
      </c>
      <c r="I245" s="7" t="s">
        <v>721</v>
      </c>
      <c r="J245" s="7"/>
      <c r="K245" s="7">
        <v>1900</v>
      </c>
      <c r="L245" s="1">
        <v>1900</v>
      </c>
      <c r="M245" s="7" t="s">
        <v>121</v>
      </c>
      <c r="N245" s="4" t="s">
        <v>122</v>
      </c>
      <c r="O245" s="5" t="s">
        <v>123</v>
      </c>
      <c r="P245" s="1" t="s">
        <v>167</v>
      </c>
      <c r="Q245" s="1" t="s">
        <v>220</v>
      </c>
      <c r="R245" s="1" t="s">
        <v>1132</v>
      </c>
      <c r="S245" s="7" t="s">
        <v>203</v>
      </c>
      <c r="T245" s="6" t="s">
        <v>37</v>
      </c>
      <c r="U245" s="6"/>
      <c r="V245" s="6"/>
    </row>
    <row r="246" spans="1:22" ht="49" customHeight="1" x14ac:dyDescent="0.2">
      <c r="A246" s="20" t="s">
        <v>886</v>
      </c>
      <c r="B246" s="2" t="s">
        <v>725</v>
      </c>
      <c r="C246" s="6" t="s">
        <v>263</v>
      </c>
      <c r="D246" s="6" t="s">
        <v>263</v>
      </c>
      <c r="E246" s="7" t="s">
        <v>696</v>
      </c>
      <c r="F246" s="6">
        <v>1900</v>
      </c>
      <c r="G246" s="6">
        <v>3</v>
      </c>
      <c r="H246" s="7" t="s">
        <v>74</v>
      </c>
      <c r="I246" s="7" t="s">
        <v>724</v>
      </c>
      <c r="J246" s="7"/>
      <c r="K246" s="7">
        <v>1900</v>
      </c>
      <c r="L246" s="1">
        <v>1900</v>
      </c>
      <c r="M246" s="7" t="s">
        <v>121</v>
      </c>
      <c r="N246" s="4" t="s">
        <v>122</v>
      </c>
      <c r="O246" s="5" t="s">
        <v>123</v>
      </c>
      <c r="P246" s="1" t="s">
        <v>167</v>
      </c>
      <c r="Q246" s="1" t="s">
        <v>220</v>
      </c>
      <c r="R246" s="1" t="s">
        <v>1135</v>
      </c>
      <c r="S246" s="7" t="s">
        <v>203</v>
      </c>
      <c r="T246" s="6" t="s">
        <v>37</v>
      </c>
      <c r="U246" s="6"/>
      <c r="V246" s="6"/>
    </row>
    <row r="247" spans="1:22" ht="102" x14ac:dyDescent="0.2">
      <c r="A247" s="20" t="s">
        <v>887</v>
      </c>
      <c r="B247" s="2" t="s">
        <v>779</v>
      </c>
      <c r="C247" s="6" t="s">
        <v>263</v>
      </c>
      <c r="D247" s="6" t="s">
        <v>263</v>
      </c>
      <c r="E247" s="7" t="s">
        <v>780</v>
      </c>
      <c r="F247" s="6">
        <v>1890</v>
      </c>
      <c r="G247" s="6">
        <v>5</v>
      </c>
      <c r="H247" s="7" t="s">
        <v>74</v>
      </c>
      <c r="I247" s="7" t="s">
        <v>1118</v>
      </c>
      <c r="J247" s="7"/>
      <c r="K247" s="7">
        <v>1890</v>
      </c>
      <c r="L247" s="7" t="s">
        <v>1191</v>
      </c>
      <c r="M247" s="7" t="s">
        <v>121</v>
      </c>
      <c r="N247" s="4" t="s">
        <v>122</v>
      </c>
      <c r="O247" s="5" t="s">
        <v>123</v>
      </c>
      <c r="P247" s="1" t="s">
        <v>167</v>
      </c>
      <c r="Q247" s="1" t="s">
        <v>220</v>
      </c>
      <c r="R247" s="1" t="s">
        <v>1135</v>
      </c>
      <c r="S247" s="7" t="s">
        <v>203</v>
      </c>
      <c r="T247" s="6" t="s">
        <v>37</v>
      </c>
      <c r="U247" s="6"/>
      <c r="V247" s="6"/>
    </row>
    <row r="248" spans="1:22" ht="54" customHeight="1" x14ac:dyDescent="0.2">
      <c r="A248" s="20" t="s">
        <v>888</v>
      </c>
      <c r="B248" s="2" t="s">
        <v>786</v>
      </c>
      <c r="C248" s="6" t="s">
        <v>263</v>
      </c>
      <c r="D248" s="6" t="s">
        <v>263</v>
      </c>
      <c r="E248" s="1" t="s">
        <v>144</v>
      </c>
      <c r="F248" s="6">
        <v>1887</v>
      </c>
      <c r="G248" s="6">
        <v>1565</v>
      </c>
      <c r="H248" s="7" t="s">
        <v>74</v>
      </c>
      <c r="I248" s="7" t="s">
        <v>787</v>
      </c>
      <c r="J248" s="7"/>
      <c r="K248" s="7">
        <v>1885</v>
      </c>
      <c r="L248" s="7" t="s">
        <v>1193</v>
      </c>
      <c r="M248" s="7" t="s">
        <v>121</v>
      </c>
      <c r="N248" s="4" t="s">
        <v>122</v>
      </c>
      <c r="O248" s="5" t="s">
        <v>123</v>
      </c>
      <c r="P248" s="1" t="s">
        <v>167</v>
      </c>
      <c r="Q248" s="1" t="s">
        <v>220</v>
      </c>
      <c r="R248" s="1" t="s">
        <v>1135</v>
      </c>
      <c r="S248" s="7" t="s">
        <v>203</v>
      </c>
      <c r="T248" s="6" t="s">
        <v>37</v>
      </c>
      <c r="U248" s="6"/>
      <c r="V248" s="6"/>
    </row>
    <row r="249" spans="1:22" ht="181" customHeight="1" x14ac:dyDescent="0.2">
      <c r="A249" s="20" t="s">
        <v>889</v>
      </c>
      <c r="B249" s="2" t="s">
        <v>806</v>
      </c>
      <c r="C249" s="6" t="s">
        <v>263</v>
      </c>
      <c r="D249" s="6" t="s">
        <v>263</v>
      </c>
      <c r="E249" s="7" t="s">
        <v>140</v>
      </c>
      <c r="F249" s="6">
        <v>1889</v>
      </c>
      <c r="G249" s="6">
        <v>5</v>
      </c>
      <c r="H249" s="7" t="s">
        <v>74</v>
      </c>
      <c r="I249" s="7" t="s">
        <v>1119</v>
      </c>
      <c r="J249" s="7"/>
      <c r="K249" s="7">
        <v>1889</v>
      </c>
      <c r="L249" s="7" t="s">
        <v>1193</v>
      </c>
      <c r="M249" s="7" t="s">
        <v>121</v>
      </c>
      <c r="N249" s="4" t="s">
        <v>122</v>
      </c>
      <c r="O249" s="5" t="s">
        <v>123</v>
      </c>
      <c r="P249" s="1" t="s">
        <v>167</v>
      </c>
      <c r="Q249" s="1" t="s">
        <v>220</v>
      </c>
      <c r="R249" s="1" t="s">
        <v>1132</v>
      </c>
      <c r="S249" s="7" t="s">
        <v>203</v>
      </c>
      <c r="T249" s="6" t="s">
        <v>37</v>
      </c>
      <c r="U249" s="6"/>
      <c r="V249" s="6"/>
    </row>
    <row r="250" spans="1:22" ht="119" x14ac:dyDescent="0.2">
      <c r="A250" s="20" t="s">
        <v>890</v>
      </c>
      <c r="B250" s="2" t="s">
        <v>811</v>
      </c>
      <c r="C250" s="6" t="s">
        <v>263</v>
      </c>
      <c r="D250" s="6" t="s">
        <v>263</v>
      </c>
      <c r="E250" s="7" t="s">
        <v>812</v>
      </c>
      <c r="F250" s="6">
        <v>1893</v>
      </c>
      <c r="G250" s="6">
        <v>2</v>
      </c>
      <c r="H250" s="7" t="s">
        <v>74</v>
      </c>
      <c r="I250" s="7" t="s">
        <v>953</v>
      </c>
      <c r="J250" s="7"/>
      <c r="K250" s="7">
        <v>1893</v>
      </c>
      <c r="L250" s="7" t="s">
        <v>1191</v>
      </c>
      <c r="M250" s="7" t="s">
        <v>121</v>
      </c>
      <c r="N250" s="4" t="s">
        <v>122</v>
      </c>
      <c r="O250" s="5" t="s">
        <v>123</v>
      </c>
      <c r="P250" s="1" t="s">
        <v>167</v>
      </c>
      <c r="Q250" s="1" t="s">
        <v>220</v>
      </c>
      <c r="R250" s="1" t="s">
        <v>1134</v>
      </c>
      <c r="S250" s="7" t="s">
        <v>203</v>
      </c>
      <c r="T250" s="6" t="s">
        <v>37</v>
      </c>
      <c r="U250" s="6"/>
      <c r="V250" s="6"/>
    </row>
    <row r="251" spans="1:22" ht="181" customHeight="1" x14ac:dyDescent="0.2">
      <c r="A251" s="20" t="s">
        <v>891</v>
      </c>
      <c r="B251" s="2" t="s">
        <v>816</v>
      </c>
      <c r="C251" s="6" t="s">
        <v>817</v>
      </c>
      <c r="D251" s="6" t="s">
        <v>818</v>
      </c>
      <c r="E251" s="7" t="s">
        <v>819</v>
      </c>
      <c r="F251" s="6">
        <v>1889</v>
      </c>
      <c r="G251" s="6">
        <v>6</v>
      </c>
      <c r="H251" s="7" t="s">
        <v>74</v>
      </c>
      <c r="I251" s="7" t="s">
        <v>815</v>
      </c>
      <c r="J251" s="7"/>
      <c r="K251" s="7">
        <v>1889</v>
      </c>
      <c r="L251" s="7" t="s">
        <v>1193</v>
      </c>
      <c r="M251" s="7" t="s">
        <v>121</v>
      </c>
      <c r="N251" s="4" t="s">
        <v>122</v>
      </c>
      <c r="O251" s="5" t="s">
        <v>123</v>
      </c>
      <c r="P251" s="1" t="s">
        <v>167</v>
      </c>
      <c r="Q251" s="1" t="s">
        <v>220</v>
      </c>
      <c r="R251" s="1" t="s">
        <v>1134</v>
      </c>
      <c r="S251" s="7" t="s">
        <v>203</v>
      </c>
      <c r="T251" s="6" t="s">
        <v>37</v>
      </c>
      <c r="U251" s="6"/>
      <c r="V251" s="6"/>
    </row>
    <row r="252" spans="1:22" ht="204" x14ac:dyDescent="0.2">
      <c r="A252" s="20" t="s">
        <v>892</v>
      </c>
      <c r="B252" s="2" t="s">
        <v>816</v>
      </c>
      <c r="C252" s="6" t="s">
        <v>817</v>
      </c>
      <c r="D252" s="6" t="s">
        <v>818</v>
      </c>
      <c r="E252" s="7" t="s">
        <v>820</v>
      </c>
      <c r="F252" s="6">
        <v>1889</v>
      </c>
      <c r="G252" s="6">
        <v>3</v>
      </c>
      <c r="H252" s="7" t="s">
        <v>74</v>
      </c>
      <c r="I252" s="7" t="s">
        <v>821</v>
      </c>
      <c r="J252" s="7"/>
      <c r="K252" s="7">
        <v>1889</v>
      </c>
      <c r="L252" s="7" t="s">
        <v>1193</v>
      </c>
      <c r="M252" s="7" t="s">
        <v>121</v>
      </c>
      <c r="N252" s="4" t="s">
        <v>122</v>
      </c>
      <c r="O252" s="5" t="s">
        <v>123</v>
      </c>
      <c r="P252" s="1" t="s">
        <v>167</v>
      </c>
      <c r="Q252" s="1" t="s">
        <v>220</v>
      </c>
      <c r="R252" s="1" t="s">
        <v>1140</v>
      </c>
      <c r="S252" s="7" t="s">
        <v>203</v>
      </c>
      <c r="T252" s="6" t="s">
        <v>37</v>
      </c>
      <c r="U252" s="6"/>
      <c r="V252" s="6"/>
    </row>
    <row r="253" spans="1:22" ht="102" x14ac:dyDescent="0.2">
      <c r="A253" s="20" t="s">
        <v>893</v>
      </c>
      <c r="B253" s="2" t="s">
        <v>684</v>
      </c>
      <c r="C253" s="6" t="s">
        <v>263</v>
      </c>
      <c r="D253" s="6" t="s">
        <v>263</v>
      </c>
      <c r="E253" s="7" t="s">
        <v>685</v>
      </c>
      <c r="F253" s="6">
        <v>1885</v>
      </c>
      <c r="G253" s="6">
        <v>2</v>
      </c>
      <c r="H253" s="7" t="s">
        <v>74</v>
      </c>
      <c r="I253" s="7" t="s">
        <v>1180</v>
      </c>
      <c r="J253" s="7"/>
      <c r="K253" s="7">
        <v>1885</v>
      </c>
      <c r="L253" s="7" t="s">
        <v>1193</v>
      </c>
      <c r="M253" s="7" t="s">
        <v>160</v>
      </c>
      <c r="N253" s="4" t="s">
        <v>181</v>
      </c>
      <c r="O253" s="5" t="s">
        <v>182</v>
      </c>
      <c r="P253" s="1" t="s">
        <v>167</v>
      </c>
      <c r="Q253" s="1" t="s">
        <v>1219</v>
      </c>
      <c r="R253" s="1" t="s">
        <v>1140</v>
      </c>
      <c r="S253" s="7" t="s">
        <v>66</v>
      </c>
      <c r="T253" s="6" t="s">
        <v>66</v>
      </c>
      <c r="U253" s="6"/>
      <c r="V253" s="6"/>
    </row>
    <row r="254" spans="1:22" ht="85" x14ac:dyDescent="0.2">
      <c r="A254" s="20" t="s">
        <v>894</v>
      </c>
      <c r="B254" s="2" t="s">
        <v>686</v>
      </c>
      <c r="C254" s="6" t="s">
        <v>263</v>
      </c>
      <c r="D254" s="6" t="s">
        <v>263</v>
      </c>
      <c r="E254" s="7" t="s">
        <v>687</v>
      </c>
      <c r="F254" s="6">
        <v>1862</v>
      </c>
      <c r="G254" s="6">
        <v>2</v>
      </c>
      <c r="H254" s="7" t="s">
        <v>74</v>
      </c>
      <c r="I254" s="7" t="s">
        <v>1181</v>
      </c>
      <c r="J254" s="7"/>
      <c r="K254" s="7">
        <v>1862</v>
      </c>
      <c r="L254" s="7" t="s">
        <v>1190</v>
      </c>
      <c r="M254" s="7" t="s">
        <v>160</v>
      </c>
      <c r="N254" s="4" t="s">
        <v>181</v>
      </c>
      <c r="O254" s="5" t="s">
        <v>182</v>
      </c>
      <c r="P254" s="1" t="s">
        <v>167</v>
      </c>
      <c r="Q254" s="1" t="s">
        <v>1219</v>
      </c>
      <c r="R254" s="1" t="s">
        <v>1140</v>
      </c>
      <c r="S254" s="7" t="s">
        <v>203</v>
      </c>
      <c r="T254" s="6" t="s">
        <v>90</v>
      </c>
      <c r="U254" s="6"/>
      <c r="V254" s="6"/>
    </row>
    <row r="255" spans="1:22" ht="68" x14ac:dyDescent="0.2">
      <c r="A255" s="20" t="s">
        <v>895</v>
      </c>
      <c r="B255" s="2" t="s">
        <v>694</v>
      </c>
      <c r="C255" s="6" t="s">
        <v>263</v>
      </c>
      <c r="D255" s="6" t="s">
        <v>263</v>
      </c>
      <c r="E255" s="7" t="s">
        <v>143</v>
      </c>
      <c r="F255" s="6">
        <v>1873</v>
      </c>
      <c r="G255" s="6">
        <v>3</v>
      </c>
      <c r="H255" s="7" t="s">
        <v>74</v>
      </c>
      <c r="I255" s="7" t="s">
        <v>1120</v>
      </c>
      <c r="J255" s="7"/>
      <c r="K255" s="7">
        <v>1872</v>
      </c>
      <c r="L255" s="7" t="s">
        <v>1192</v>
      </c>
      <c r="M255" s="7" t="s">
        <v>160</v>
      </c>
      <c r="N255" s="7">
        <v>-29.3221659650929</v>
      </c>
      <c r="O255" s="16">
        <v>146.89843603963101</v>
      </c>
      <c r="P255" s="7" t="s">
        <v>167</v>
      </c>
      <c r="Q255" s="7" t="s">
        <v>1219</v>
      </c>
      <c r="R255" s="1" t="s">
        <v>1146</v>
      </c>
      <c r="S255" s="7" t="s">
        <v>203</v>
      </c>
      <c r="T255" s="6" t="s">
        <v>135</v>
      </c>
      <c r="U255" s="6"/>
      <c r="V255" s="6"/>
    </row>
    <row r="256" spans="1:22" ht="51" x14ac:dyDescent="0.2">
      <c r="A256" s="20" t="s">
        <v>896</v>
      </c>
      <c r="B256" s="2" t="s">
        <v>701</v>
      </c>
      <c r="C256" s="6" t="s">
        <v>263</v>
      </c>
      <c r="D256" s="6" t="s">
        <v>263</v>
      </c>
      <c r="E256" s="7" t="s">
        <v>702</v>
      </c>
      <c r="F256" s="6">
        <v>1873</v>
      </c>
      <c r="G256" s="6">
        <v>4</v>
      </c>
      <c r="H256" s="7" t="s">
        <v>74</v>
      </c>
      <c r="I256" s="7" t="s">
        <v>1121</v>
      </c>
      <c r="J256" s="7"/>
      <c r="K256" s="7">
        <v>1872</v>
      </c>
      <c r="L256" s="7" t="s">
        <v>1192</v>
      </c>
      <c r="M256" s="7" t="s">
        <v>160</v>
      </c>
      <c r="N256" s="7">
        <v>-29.3221659650929</v>
      </c>
      <c r="O256" s="16">
        <v>146.89843603963101</v>
      </c>
      <c r="P256" s="7" t="s">
        <v>167</v>
      </c>
      <c r="Q256" s="7" t="s">
        <v>1219</v>
      </c>
      <c r="R256" s="1" t="s">
        <v>1146</v>
      </c>
      <c r="S256" s="7" t="s">
        <v>203</v>
      </c>
      <c r="T256" s="6" t="s">
        <v>135</v>
      </c>
      <c r="U256" s="6"/>
      <c r="V256" s="6"/>
    </row>
    <row r="257" spans="1:22" ht="68" x14ac:dyDescent="0.2">
      <c r="A257" s="20" t="s">
        <v>897</v>
      </c>
      <c r="B257" s="2" t="s">
        <v>725</v>
      </c>
      <c r="C257" s="6" t="s">
        <v>263</v>
      </c>
      <c r="D257" s="6" t="s">
        <v>263</v>
      </c>
      <c r="E257" s="7" t="s">
        <v>140</v>
      </c>
      <c r="F257" s="6">
        <v>1899</v>
      </c>
      <c r="G257" s="6">
        <v>3</v>
      </c>
      <c r="H257" s="7" t="s">
        <v>74</v>
      </c>
      <c r="I257" s="7" t="s">
        <v>736</v>
      </c>
      <c r="J257" s="7"/>
      <c r="K257" s="7">
        <v>1899</v>
      </c>
      <c r="L257" s="7" t="s">
        <v>1191</v>
      </c>
      <c r="M257" s="7" t="s">
        <v>160</v>
      </c>
      <c r="N257" s="7">
        <v>-29.3221659650929</v>
      </c>
      <c r="O257" s="16">
        <v>146.89843603963101</v>
      </c>
      <c r="P257" s="7" t="s">
        <v>167</v>
      </c>
      <c r="Q257" s="7" t="s">
        <v>1219</v>
      </c>
      <c r="R257" s="1" t="s">
        <v>1146</v>
      </c>
      <c r="S257" s="7" t="s">
        <v>203</v>
      </c>
      <c r="T257" s="6" t="s">
        <v>135</v>
      </c>
      <c r="U257" s="6"/>
      <c r="V257" s="6"/>
    </row>
    <row r="258" spans="1:22" ht="102" x14ac:dyDescent="0.2">
      <c r="A258" s="20" t="s">
        <v>898</v>
      </c>
      <c r="B258" s="2" t="s">
        <v>751</v>
      </c>
      <c r="C258" s="6" t="s">
        <v>263</v>
      </c>
      <c r="D258" s="6" t="s">
        <v>263</v>
      </c>
      <c r="E258" s="7" t="s">
        <v>947</v>
      </c>
      <c r="F258" s="6">
        <v>1886</v>
      </c>
      <c r="G258" s="6">
        <v>17</v>
      </c>
      <c r="H258" s="7" t="s">
        <v>74</v>
      </c>
      <c r="I258" s="7" t="s">
        <v>750</v>
      </c>
      <c r="J258" s="7"/>
      <c r="K258" s="7">
        <v>1886</v>
      </c>
      <c r="L258" s="7" t="s">
        <v>1193</v>
      </c>
      <c r="M258" s="7" t="s">
        <v>160</v>
      </c>
      <c r="N258" s="7">
        <v>-29.3221659650929</v>
      </c>
      <c r="O258" s="16">
        <v>146.89843603963101</v>
      </c>
      <c r="P258" s="7" t="s">
        <v>167</v>
      </c>
      <c r="Q258" s="7" t="s">
        <v>1219</v>
      </c>
      <c r="R258" s="1" t="s">
        <v>1135</v>
      </c>
      <c r="S258" s="7" t="s">
        <v>3</v>
      </c>
      <c r="T258" s="6" t="s">
        <v>3</v>
      </c>
      <c r="U258" s="6"/>
      <c r="V258" s="6"/>
    </row>
    <row r="259" spans="1:22" ht="119" x14ac:dyDescent="0.2">
      <c r="A259" s="20" t="s">
        <v>899</v>
      </c>
      <c r="B259" s="2" t="s">
        <v>728</v>
      </c>
      <c r="C259" s="6" t="s">
        <v>263</v>
      </c>
      <c r="D259" s="6" t="s">
        <v>263</v>
      </c>
      <c r="E259" s="7" t="s">
        <v>143</v>
      </c>
      <c r="F259" s="6">
        <v>1898</v>
      </c>
      <c r="G259" s="6">
        <v>3</v>
      </c>
      <c r="H259" s="7" t="s">
        <v>74</v>
      </c>
      <c r="I259" s="7" t="s">
        <v>1173</v>
      </c>
      <c r="J259" s="7"/>
      <c r="K259" s="7">
        <v>1898</v>
      </c>
      <c r="L259" s="7" t="s">
        <v>1191</v>
      </c>
      <c r="M259" s="7" t="s">
        <v>160</v>
      </c>
      <c r="N259" s="7">
        <v>-29.32216597</v>
      </c>
      <c r="O259" s="7">
        <v>146.89843603963101</v>
      </c>
      <c r="P259" s="7" t="s">
        <v>167</v>
      </c>
      <c r="Q259" s="7" t="s">
        <v>1219</v>
      </c>
      <c r="R259" s="7" t="s">
        <v>1146</v>
      </c>
      <c r="S259" s="7" t="s">
        <v>203</v>
      </c>
      <c r="T259" s="7" t="s">
        <v>90</v>
      </c>
      <c r="U259" s="6"/>
      <c r="V259" s="6"/>
    </row>
    <row r="260" spans="1:22" ht="68" x14ac:dyDescent="0.2">
      <c r="A260" s="20" t="s">
        <v>900</v>
      </c>
      <c r="B260" s="2" t="s">
        <v>671</v>
      </c>
      <c r="C260" s="6" t="s">
        <v>263</v>
      </c>
      <c r="D260" s="6" t="s">
        <v>263</v>
      </c>
      <c r="E260" s="7" t="s">
        <v>143</v>
      </c>
      <c r="F260" s="6">
        <v>1885</v>
      </c>
      <c r="G260" s="6">
        <v>5</v>
      </c>
      <c r="H260" s="7" t="s">
        <v>74</v>
      </c>
      <c r="I260" s="7" t="s">
        <v>1168</v>
      </c>
      <c r="J260" s="7"/>
      <c r="K260" s="7">
        <v>1885</v>
      </c>
      <c r="L260" s="7" t="s">
        <v>1193</v>
      </c>
      <c r="M260" s="7" t="s">
        <v>743</v>
      </c>
      <c r="N260" s="1">
        <v>-29.130600000000001</v>
      </c>
      <c r="O260" s="3">
        <v>147.44398000000001</v>
      </c>
      <c r="P260" s="1" t="s">
        <v>1246</v>
      </c>
      <c r="Q260" s="1" t="s">
        <v>1219</v>
      </c>
      <c r="R260" s="1" t="s">
        <v>1139</v>
      </c>
      <c r="S260" s="7" t="s">
        <v>203</v>
      </c>
      <c r="T260" s="6" t="s">
        <v>51</v>
      </c>
      <c r="U260" s="6"/>
      <c r="V260" s="6"/>
    </row>
    <row r="261" spans="1:22" ht="102" x14ac:dyDescent="0.2">
      <c r="A261" s="20" t="s">
        <v>901</v>
      </c>
      <c r="B261" s="2" t="s">
        <v>765</v>
      </c>
      <c r="C261" s="6" t="s">
        <v>263</v>
      </c>
      <c r="D261" s="6" t="s">
        <v>263</v>
      </c>
      <c r="E261" s="7" t="s">
        <v>696</v>
      </c>
      <c r="F261" s="6">
        <v>1885</v>
      </c>
      <c r="G261" s="6">
        <v>3</v>
      </c>
      <c r="H261" s="7" t="s">
        <v>74</v>
      </c>
      <c r="I261" s="7" t="s">
        <v>764</v>
      </c>
      <c r="J261" s="7"/>
      <c r="K261" s="7">
        <v>1885</v>
      </c>
      <c r="L261" s="7" t="s">
        <v>1193</v>
      </c>
      <c r="M261" s="7" t="s">
        <v>743</v>
      </c>
      <c r="N261" s="1">
        <v>-29.130600000000001</v>
      </c>
      <c r="O261" s="3">
        <v>147.44398000000001</v>
      </c>
      <c r="P261" s="1" t="s">
        <v>1246</v>
      </c>
      <c r="Q261" s="1" t="s">
        <v>1219</v>
      </c>
      <c r="R261" s="1" t="s">
        <v>1139</v>
      </c>
      <c r="S261" s="7" t="s">
        <v>203</v>
      </c>
      <c r="T261" s="6" t="s">
        <v>51</v>
      </c>
      <c r="U261" s="6"/>
      <c r="V261" s="6"/>
    </row>
    <row r="262" spans="1:22" ht="102" x14ac:dyDescent="0.2">
      <c r="A262" s="20" t="s">
        <v>902</v>
      </c>
      <c r="B262" s="2" t="s">
        <v>165</v>
      </c>
      <c r="C262" s="6" t="s">
        <v>263</v>
      </c>
      <c r="D262" s="6" t="s">
        <v>263</v>
      </c>
      <c r="E262" s="7" t="s">
        <v>687</v>
      </c>
      <c r="F262" s="6">
        <v>1878</v>
      </c>
      <c r="G262" s="6">
        <v>7</v>
      </c>
      <c r="H262" s="7" t="s">
        <v>74</v>
      </c>
      <c r="I262" s="7" t="s">
        <v>1149</v>
      </c>
      <c r="J262" s="7"/>
      <c r="K262" s="7">
        <v>1879</v>
      </c>
      <c r="L262" s="7" t="s">
        <v>1192</v>
      </c>
      <c r="M262" s="7" t="s">
        <v>729</v>
      </c>
      <c r="N262" s="1">
        <v>-29.821267641965701</v>
      </c>
      <c r="O262" s="3">
        <v>147.937293583056</v>
      </c>
      <c r="P262" s="1" t="s">
        <v>167</v>
      </c>
      <c r="Q262" s="1" t="s">
        <v>1219</v>
      </c>
      <c r="R262" s="1" t="s">
        <v>1151</v>
      </c>
      <c r="S262" s="7" t="s">
        <v>0</v>
      </c>
      <c r="T262" s="6" t="s">
        <v>82</v>
      </c>
      <c r="U262" s="6"/>
      <c r="V262" s="6"/>
    </row>
    <row r="263" spans="1:22" ht="148" customHeight="1" x14ac:dyDescent="0.2">
      <c r="A263" s="20" t="s">
        <v>903</v>
      </c>
      <c r="B263" s="2" t="s">
        <v>833</v>
      </c>
      <c r="C263" s="6" t="s">
        <v>263</v>
      </c>
      <c r="D263" s="6" t="s">
        <v>263</v>
      </c>
      <c r="E263" s="7" t="s">
        <v>947</v>
      </c>
      <c r="F263" s="6">
        <v>1894</v>
      </c>
      <c r="G263" s="6">
        <v>46</v>
      </c>
      <c r="H263" s="7" t="s">
        <v>74</v>
      </c>
      <c r="I263" s="7" t="s">
        <v>1235</v>
      </c>
      <c r="J263" s="7"/>
      <c r="K263" s="7">
        <v>1894</v>
      </c>
      <c r="L263" s="7" t="s">
        <v>1191</v>
      </c>
      <c r="M263" s="7" t="s">
        <v>729</v>
      </c>
      <c r="N263" s="1">
        <v>-29.821267641965701</v>
      </c>
      <c r="O263" s="3">
        <v>147.937293583056</v>
      </c>
      <c r="P263" s="1" t="s">
        <v>167</v>
      </c>
      <c r="Q263" s="1" t="s">
        <v>1219</v>
      </c>
      <c r="R263" s="1" t="s">
        <v>1131</v>
      </c>
      <c r="S263" s="7" t="s">
        <v>203</v>
      </c>
      <c r="T263" s="6" t="s">
        <v>51</v>
      </c>
      <c r="U263" s="6"/>
      <c r="V263" s="6"/>
    </row>
    <row r="264" spans="1:22" ht="68" x14ac:dyDescent="0.2">
      <c r="A264" s="20" t="s">
        <v>904</v>
      </c>
      <c r="B264" s="2" t="s">
        <v>766</v>
      </c>
      <c r="C264" s="6" t="s">
        <v>263</v>
      </c>
      <c r="D264" s="6" t="s">
        <v>263</v>
      </c>
      <c r="E264" s="7" t="s">
        <v>767</v>
      </c>
      <c r="F264" s="6">
        <v>1893</v>
      </c>
      <c r="G264" s="6">
        <v>29</v>
      </c>
      <c r="H264" s="7" t="s">
        <v>74</v>
      </c>
      <c r="I264" s="7" t="s">
        <v>1152</v>
      </c>
      <c r="J264" s="7"/>
      <c r="K264" s="7">
        <v>1893</v>
      </c>
      <c r="L264" s="7" t="s">
        <v>1191</v>
      </c>
      <c r="M264" s="7" t="s">
        <v>768</v>
      </c>
      <c r="N264" s="1">
        <v>-29.16732</v>
      </c>
      <c r="O264" s="3">
        <v>147.26616000000001</v>
      </c>
      <c r="P264" s="1" t="s">
        <v>1246</v>
      </c>
      <c r="Q264" s="1" t="s">
        <v>1219</v>
      </c>
      <c r="R264" s="1" t="s">
        <v>1134</v>
      </c>
      <c r="S264" s="7" t="s">
        <v>203</v>
      </c>
      <c r="T264" s="6" t="s">
        <v>51</v>
      </c>
      <c r="U264" s="6"/>
      <c r="V264" s="6"/>
    </row>
    <row r="265" spans="1:22" ht="85" x14ac:dyDescent="0.2">
      <c r="A265" s="20" t="s">
        <v>905</v>
      </c>
      <c r="B265" s="2" t="s">
        <v>829</v>
      </c>
      <c r="C265" s="6" t="s">
        <v>263</v>
      </c>
      <c r="D265" s="6" t="s">
        <v>263</v>
      </c>
      <c r="E265" s="7" t="s">
        <v>746</v>
      </c>
      <c r="F265" s="6">
        <v>1893</v>
      </c>
      <c r="G265" s="6">
        <v>1</v>
      </c>
      <c r="H265" s="7" t="s">
        <v>74</v>
      </c>
      <c r="I265" s="7" t="s">
        <v>830</v>
      </c>
      <c r="J265" s="7"/>
      <c r="K265" s="7">
        <v>1893</v>
      </c>
      <c r="L265" s="7" t="s">
        <v>1191</v>
      </c>
      <c r="M265" s="7" t="s">
        <v>768</v>
      </c>
      <c r="N265" s="1">
        <v>-29.16732</v>
      </c>
      <c r="O265" s="3">
        <v>147.26616000000001</v>
      </c>
      <c r="P265" s="1" t="s">
        <v>1246</v>
      </c>
      <c r="Q265" s="1" t="s">
        <v>1219</v>
      </c>
      <c r="R265" s="1" t="s">
        <v>1134</v>
      </c>
      <c r="S265" s="7" t="s">
        <v>203</v>
      </c>
      <c r="T265" s="6" t="s">
        <v>51</v>
      </c>
      <c r="U265" s="6"/>
      <c r="V265" s="6"/>
    </row>
    <row r="266" spans="1:22" ht="68" x14ac:dyDescent="0.2">
      <c r="A266" s="20" t="s">
        <v>906</v>
      </c>
      <c r="B266" s="2" t="s">
        <v>831</v>
      </c>
      <c r="C266" s="6" t="s">
        <v>263</v>
      </c>
      <c r="D266" s="6" t="s">
        <v>263</v>
      </c>
      <c r="E266" s="7" t="s">
        <v>144</v>
      </c>
      <c r="F266" s="6">
        <v>1885</v>
      </c>
      <c r="G266" s="6">
        <v>237</v>
      </c>
      <c r="H266" s="7" t="s">
        <v>74</v>
      </c>
      <c r="I266" s="7" t="s">
        <v>832</v>
      </c>
      <c r="J266" s="7"/>
      <c r="K266" s="7">
        <v>1886</v>
      </c>
      <c r="L266" s="7" t="s">
        <v>1193</v>
      </c>
      <c r="M266" s="7" t="s">
        <v>768</v>
      </c>
      <c r="N266" s="1">
        <v>-29.16732</v>
      </c>
      <c r="O266" s="3">
        <v>147.26616000000001</v>
      </c>
      <c r="P266" s="1" t="s">
        <v>1246</v>
      </c>
      <c r="Q266" s="1" t="s">
        <v>1219</v>
      </c>
      <c r="R266" s="1" t="s">
        <v>1131</v>
      </c>
      <c r="S266" s="7" t="s">
        <v>203</v>
      </c>
      <c r="T266" s="6" t="s">
        <v>51</v>
      </c>
      <c r="U266" s="6"/>
      <c r="V266" s="6"/>
    </row>
    <row r="267" spans="1:22" ht="85" x14ac:dyDescent="0.2">
      <c r="A267" s="20" t="s">
        <v>907</v>
      </c>
      <c r="B267" s="2" t="s">
        <v>735</v>
      </c>
      <c r="C267" s="6" t="s">
        <v>263</v>
      </c>
      <c r="D267" s="6" t="s">
        <v>263</v>
      </c>
      <c r="E267" s="7" t="s">
        <v>140</v>
      </c>
      <c r="F267" s="6">
        <v>1897</v>
      </c>
      <c r="G267" s="6">
        <v>7</v>
      </c>
      <c r="H267" s="7" t="s">
        <v>74</v>
      </c>
      <c r="I267" s="7" t="s">
        <v>1169</v>
      </c>
      <c r="J267" s="7"/>
      <c r="K267" s="7">
        <v>1897</v>
      </c>
      <c r="L267" s="7" t="s">
        <v>1191</v>
      </c>
      <c r="M267" s="7" t="s">
        <v>52</v>
      </c>
      <c r="N267" s="4" t="s">
        <v>327</v>
      </c>
      <c r="O267" s="5" t="s">
        <v>328</v>
      </c>
      <c r="P267" s="1" t="s">
        <v>167</v>
      </c>
      <c r="Q267" s="1" t="s">
        <v>1219</v>
      </c>
      <c r="R267" s="1" t="s">
        <v>1146</v>
      </c>
      <c r="S267" s="7" t="s">
        <v>203</v>
      </c>
      <c r="T267" s="6" t="s">
        <v>135</v>
      </c>
      <c r="U267" s="6"/>
      <c r="V267" s="6"/>
    </row>
    <row r="268" spans="1:22" ht="68" x14ac:dyDescent="0.2">
      <c r="A268" s="20" t="s">
        <v>908</v>
      </c>
      <c r="B268" s="2" t="s">
        <v>725</v>
      </c>
      <c r="C268" s="6" t="s">
        <v>263</v>
      </c>
      <c r="D268" s="6" t="s">
        <v>263</v>
      </c>
      <c r="E268" s="7" t="s">
        <v>140</v>
      </c>
      <c r="F268" s="6">
        <v>1899</v>
      </c>
      <c r="G268" s="6">
        <v>3</v>
      </c>
      <c r="H268" s="7" t="s">
        <v>74</v>
      </c>
      <c r="I268" s="7" t="s">
        <v>736</v>
      </c>
      <c r="J268" s="7"/>
      <c r="K268" s="7">
        <v>1899</v>
      </c>
      <c r="L268" s="7" t="s">
        <v>1191</v>
      </c>
      <c r="M268" s="7" t="s">
        <v>52</v>
      </c>
      <c r="N268" s="4" t="s">
        <v>327</v>
      </c>
      <c r="O268" s="5" t="s">
        <v>328</v>
      </c>
      <c r="P268" s="1" t="s">
        <v>167</v>
      </c>
      <c r="Q268" s="1" t="s">
        <v>1219</v>
      </c>
      <c r="R268" s="1" t="s">
        <v>1146</v>
      </c>
      <c r="S268" s="7" t="s">
        <v>203</v>
      </c>
      <c r="T268" s="6" t="s">
        <v>135</v>
      </c>
      <c r="U268" s="6"/>
      <c r="V268" s="6"/>
    </row>
    <row r="269" spans="1:22" ht="51" x14ac:dyDescent="0.2">
      <c r="A269" s="20" t="s">
        <v>909</v>
      </c>
      <c r="B269" s="2" t="s">
        <v>725</v>
      </c>
      <c r="C269" s="6" t="s">
        <v>263</v>
      </c>
      <c r="D269" s="6" t="s">
        <v>263</v>
      </c>
      <c r="E269" s="7" t="s">
        <v>696</v>
      </c>
      <c r="F269" s="6">
        <v>1900</v>
      </c>
      <c r="G269" s="6">
        <v>3</v>
      </c>
      <c r="H269" s="7" t="s">
        <v>74</v>
      </c>
      <c r="I269" s="7" t="s">
        <v>737</v>
      </c>
      <c r="J269" s="7"/>
      <c r="K269" s="7">
        <v>1900</v>
      </c>
      <c r="L269" s="1">
        <v>1900</v>
      </c>
      <c r="M269" s="7" t="s">
        <v>52</v>
      </c>
      <c r="N269" s="4" t="s">
        <v>327</v>
      </c>
      <c r="O269" s="5" t="s">
        <v>328</v>
      </c>
      <c r="P269" s="1" t="s">
        <v>167</v>
      </c>
      <c r="Q269" s="1" t="s">
        <v>1219</v>
      </c>
      <c r="R269" s="1" t="s">
        <v>1146</v>
      </c>
      <c r="S269" s="7" t="s">
        <v>203</v>
      </c>
      <c r="T269" s="6" t="s">
        <v>135</v>
      </c>
      <c r="U269" s="6"/>
      <c r="V269" s="6"/>
    </row>
    <row r="270" spans="1:22" ht="153" x14ac:dyDescent="0.2">
      <c r="A270" s="20" t="s">
        <v>910</v>
      </c>
      <c r="B270" s="2" t="s">
        <v>728</v>
      </c>
      <c r="C270" s="6" t="s">
        <v>263</v>
      </c>
      <c r="D270" s="6" t="s">
        <v>263</v>
      </c>
      <c r="E270" s="7" t="s">
        <v>696</v>
      </c>
      <c r="F270" s="6">
        <v>1898</v>
      </c>
      <c r="G270" s="6">
        <v>5</v>
      </c>
      <c r="H270" s="7" t="s">
        <v>74</v>
      </c>
      <c r="I270" s="7" t="s">
        <v>1122</v>
      </c>
      <c r="J270" s="7"/>
      <c r="K270" s="7">
        <v>1898</v>
      </c>
      <c r="L270" s="7" t="s">
        <v>1191</v>
      </c>
      <c r="M270" s="7" t="s">
        <v>52</v>
      </c>
      <c r="N270" s="4" t="s">
        <v>327</v>
      </c>
      <c r="O270" s="5" t="s">
        <v>328</v>
      </c>
      <c r="P270" s="1" t="s">
        <v>167</v>
      </c>
      <c r="Q270" s="1" t="s">
        <v>1219</v>
      </c>
      <c r="R270" s="1" t="s">
        <v>1146</v>
      </c>
      <c r="S270" s="7" t="s">
        <v>203</v>
      </c>
      <c r="T270" s="6" t="s">
        <v>135</v>
      </c>
      <c r="U270" s="6"/>
      <c r="V270" s="6"/>
    </row>
    <row r="271" spans="1:22" ht="85" x14ac:dyDescent="0.2">
      <c r="A271" s="20" t="s">
        <v>911</v>
      </c>
      <c r="B271" s="2" t="s">
        <v>728</v>
      </c>
      <c r="C271" s="6" t="s">
        <v>263</v>
      </c>
      <c r="D271" s="6" t="s">
        <v>263</v>
      </c>
      <c r="E271" s="7" t="s">
        <v>696</v>
      </c>
      <c r="F271" s="6">
        <v>1896</v>
      </c>
      <c r="G271" s="6">
        <v>8</v>
      </c>
      <c r="H271" s="7" t="s">
        <v>74</v>
      </c>
      <c r="I271" s="7" t="s">
        <v>741</v>
      </c>
      <c r="J271" s="7"/>
      <c r="K271" s="7">
        <v>1896</v>
      </c>
      <c r="L271" s="7" t="s">
        <v>1191</v>
      </c>
      <c r="M271" s="7" t="s">
        <v>52</v>
      </c>
      <c r="N271" s="4" t="s">
        <v>327</v>
      </c>
      <c r="O271" s="5" t="s">
        <v>328</v>
      </c>
      <c r="P271" s="1" t="s">
        <v>167</v>
      </c>
      <c r="Q271" s="1" t="s">
        <v>1219</v>
      </c>
      <c r="R271" s="1" t="s">
        <v>1146</v>
      </c>
      <c r="S271" s="7" t="s">
        <v>203</v>
      </c>
      <c r="T271" s="6" t="s">
        <v>135</v>
      </c>
      <c r="U271" s="6"/>
      <c r="V271" s="6"/>
    </row>
    <row r="272" spans="1:22" ht="51" x14ac:dyDescent="0.2">
      <c r="A272" s="20" t="s">
        <v>912</v>
      </c>
      <c r="B272" s="2" t="s">
        <v>728</v>
      </c>
      <c r="C272" s="6" t="s">
        <v>263</v>
      </c>
      <c r="D272" s="6" t="s">
        <v>263</v>
      </c>
      <c r="E272" s="7" t="s">
        <v>143</v>
      </c>
      <c r="F272" s="6">
        <v>1898</v>
      </c>
      <c r="G272" s="6">
        <v>3</v>
      </c>
      <c r="H272" s="7" t="s">
        <v>74</v>
      </c>
      <c r="I272" s="7" t="s">
        <v>742</v>
      </c>
      <c r="J272" s="7"/>
      <c r="K272" s="7">
        <v>1898</v>
      </c>
      <c r="L272" s="7" t="s">
        <v>1191</v>
      </c>
      <c r="M272" s="7" t="s">
        <v>52</v>
      </c>
      <c r="N272" s="4" t="s">
        <v>327</v>
      </c>
      <c r="O272" s="5" t="s">
        <v>328</v>
      </c>
      <c r="P272" s="1" t="s">
        <v>167</v>
      </c>
      <c r="Q272" s="1" t="s">
        <v>1219</v>
      </c>
      <c r="R272" s="1" t="s">
        <v>1146</v>
      </c>
      <c r="S272" s="7" t="s">
        <v>203</v>
      </c>
      <c r="T272" s="6" t="s">
        <v>135</v>
      </c>
      <c r="U272" s="6"/>
      <c r="V272" s="6"/>
    </row>
    <row r="273" spans="1:22" ht="136" x14ac:dyDescent="0.2">
      <c r="A273" s="20" t="s">
        <v>913</v>
      </c>
      <c r="B273" s="2" t="s">
        <v>728</v>
      </c>
      <c r="C273" s="6" t="s">
        <v>263</v>
      </c>
      <c r="D273" s="6" t="s">
        <v>263</v>
      </c>
      <c r="E273" s="7" t="s">
        <v>696</v>
      </c>
      <c r="F273" s="6">
        <v>1896</v>
      </c>
      <c r="G273" s="6">
        <v>5</v>
      </c>
      <c r="H273" s="7" t="s">
        <v>74</v>
      </c>
      <c r="I273" s="7" t="s">
        <v>739</v>
      </c>
      <c r="J273" s="7"/>
      <c r="K273" s="7">
        <v>1896</v>
      </c>
      <c r="L273" s="7" t="s">
        <v>1191</v>
      </c>
      <c r="M273" s="7" t="s">
        <v>52</v>
      </c>
      <c r="N273" s="4" t="s">
        <v>327</v>
      </c>
      <c r="O273" s="5" t="s">
        <v>328</v>
      </c>
      <c r="P273" s="1" t="s">
        <v>167</v>
      </c>
      <c r="Q273" s="1" t="s">
        <v>1219</v>
      </c>
      <c r="R273" s="1" t="s">
        <v>1146</v>
      </c>
      <c r="S273" s="7" t="s">
        <v>203</v>
      </c>
      <c r="T273" s="6" t="s">
        <v>135</v>
      </c>
      <c r="U273" s="6"/>
      <c r="V273" s="6"/>
    </row>
    <row r="274" spans="1:22" ht="68" x14ac:dyDescent="0.2">
      <c r="A274" s="20" t="s">
        <v>914</v>
      </c>
      <c r="B274" s="2" t="s">
        <v>728</v>
      </c>
      <c r="C274" s="6" t="s">
        <v>263</v>
      </c>
      <c r="D274" s="6" t="s">
        <v>263</v>
      </c>
      <c r="E274" s="7" t="s">
        <v>143</v>
      </c>
      <c r="F274" s="6">
        <v>1896</v>
      </c>
      <c r="G274" s="6">
        <v>3</v>
      </c>
      <c r="H274" s="7" t="s">
        <v>74</v>
      </c>
      <c r="I274" s="7" t="s">
        <v>740</v>
      </c>
      <c r="J274" s="7"/>
      <c r="K274" s="7">
        <v>1896</v>
      </c>
      <c r="L274" s="7" t="s">
        <v>1191</v>
      </c>
      <c r="M274" s="7" t="s">
        <v>52</v>
      </c>
      <c r="N274" s="4" t="s">
        <v>327</v>
      </c>
      <c r="O274" s="5" t="s">
        <v>328</v>
      </c>
      <c r="P274" s="1" t="s">
        <v>167</v>
      </c>
      <c r="Q274" s="1" t="s">
        <v>1219</v>
      </c>
      <c r="R274" s="1" t="s">
        <v>1146</v>
      </c>
      <c r="S274" s="7" t="s">
        <v>203</v>
      </c>
      <c r="T274" s="6" t="s">
        <v>135</v>
      </c>
      <c r="U274" s="6"/>
      <c r="V274" s="6"/>
    </row>
    <row r="275" spans="1:22" ht="102" x14ac:dyDescent="0.2">
      <c r="A275" s="20" t="s">
        <v>915</v>
      </c>
      <c r="B275" s="2" t="s">
        <v>755</v>
      </c>
      <c r="C275" s="6" t="s">
        <v>263</v>
      </c>
      <c r="D275" s="6" t="s">
        <v>263</v>
      </c>
      <c r="E275" s="7" t="s">
        <v>756</v>
      </c>
      <c r="F275" s="6">
        <v>1886</v>
      </c>
      <c r="G275" s="6">
        <v>5</v>
      </c>
      <c r="H275" s="7" t="s">
        <v>74</v>
      </c>
      <c r="I275" s="7" t="s">
        <v>754</v>
      </c>
      <c r="J275" s="7"/>
      <c r="K275" s="7">
        <v>1886</v>
      </c>
      <c r="L275" s="7" t="s">
        <v>1193</v>
      </c>
      <c r="M275" s="7" t="s">
        <v>52</v>
      </c>
      <c r="N275" s="4" t="s">
        <v>327</v>
      </c>
      <c r="O275" s="5" t="s">
        <v>328</v>
      </c>
      <c r="P275" s="1" t="s">
        <v>167</v>
      </c>
      <c r="Q275" s="1" t="s">
        <v>1219</v>
      </c>
      <c r="R275" s="1" t="s">
        <v>1135</v>
      </c>
      <c r="S275" s="7" t="s">
        <v>203</v>
      </c>
      <c r="T275" s="6" t="s">
        <v>135</v>
      </c>
      <c r="U275" s="6"/>
      <c r="V275" s="6"/>
    </row>
    <row r="276" spans="1:22" ht="85" x14ac:dyDescent="0.2">
      <c r="A276" s="20" t="s">
        <v>916</v>
      </c>
      <c r="B276" s="2" t="s">
        <v>757</v>
      </c>
      <c r="C276" s="6" t="s">
        <v>263</v>
      </c>
      <c r="D276" s="6" t="s">
        <v>263</v>
      </c>
      <c r="E276" s="7" t="s">
        <v>696</v>
      </c>
      <c r="F276" s="6">
        <v>1896</v>
      </c>
      <c r="G276" s="6">
        <v>8</v>
      </c>
      <c r="H276" s="7" t="s">
        <v>74</v>
      </c>
      <c r="I276" s="7" t="s">
        <v>1123</v>
      </c>
      <c r="J276" s="7"/>
      <c r="K276" s="7">
        <v>1896</v>
      </c>
      <c r="L276" s="7" t="s">
        <v>1191</v>
      </c>
      <c r="M276" s="7" t="s">
        <v>52</v>
      </c>
      <c r="N276" s="4" t="s">
        <v>327</v>
      </c>
      <c r="O276" s="5" t="s">
        <v>328</v>
      </c>
      <c r="P276" s="43" t="s">
        <v>167</v>
      </c>
      <c r="Q276" s="43" t="s">
        <v>1219</v>
      </c>
      <c r="R276" s="1" t="s">
        <v>1135</v>
      </c>
      <c r="S276" s="7" t="s">
        <v>203</v>
      </c>
      <c r="T276" s="6" t="s">
        <v>135</v>
      </c>
      <c r="U276" s="6"/>
      <c r="V276" s="6"/>
    </row>
    <row r="277" spans="1:22" ht="119" x14ac:dyDescent="0.2">
      <c r="A277" s="20" t="s">
        <v>917</v>
      </c>
      <c r="B277" s="2" t="s">
        <v>728</v>
      </c>
      <c r="C277" s="6" t="s">
        <v>263</v>
      </c>
      <c r="D277" s="6" t="s">
        <v>263</v>
      </c>
      <c r="E277" s="7" t="s">
        <v>696</v>
      </c>
      <c r="F277" s="6">
        <v>1898</v>
      </c>
      <c r="G277" s="6">
        <v>5</v>
      </c>
      <c r="H277" s="7" t="s">
        <v>74</v>
      </c>
      <c r="I277" s="7" t="s">
        <v>758</v>
      </c>
      <c r="J277" s="7"/>
      <c r="K277" s="7">
        <v>1898</v>
      </c>
      <c r="L277" s="7" t="s">
        <v>1191</v>
      </c>
      <c r="M277" s="7" t="s">
        <v>52</v>
      </c>
      <c r="N277" s="4" t="s">
        <v>327</v>
      </c>
      <c r="O277" s="5" t="s">
        <v>328</v>
      </c>
      <c r="P277" s="43" t="s">
        <v>167</v>
      </c>
      <c r="Q277" s="43" t="s">
        <v>1219</v>
      </c>
      <c r="R277" s="1" t="s">
        <v>1135</v>
      </c>
      <c r="S277" s="7" t="s">
        <v>203</v>
      </c>
      <c r="T277" s="6" t="s">
        <v>135</v>
      </c>
      <c r="U277" s="6"/>
      <c r="V277" s="6"/>
    </row>
    <row r="278" spans="1:22" ht="119" x14ac:dyDescent="0.2">
      <c r="A278" s="20" t="s">
        <v>918</v>
      </c>
      <c r="B278" s="2" t="s">
        <v>728</v>
      </c>
      <c r="C278" s="6" t="s">
        <v>263</v>
      </c>
      <c r="D278" s="6" t="s">
        <v>263</v>
      </c>
      <c r="E278" s="7" t="s">
        <v>696</v>
      </c>
      <c r="F278" s="6">
        <v>1898</v>
      </c>
      <c r="G278" s="6">
        <v>7</v>
      </c>
      <c r="H278" s="7" t="s">
        <v>74</v>
      </c>
      <c r="I278" s="7" t="s">
        <v>759</v>
      </c>
      <c r="J278" s="7"/>
      <c r="K278" s="7">
        <v>1898</v>
      </c>
      <c r="L278" s="7" t="s">
        <v>1191</v>
      </c>
      <c r="M278" s="7" t="s">
        <v>52</v>
      </c>
      <c r="N278" s="4" t="s">
        <v>327</v>
      </c>
      <c r="O278" s="5" t="s">
        <v>328</v>
      </c>
      <c r="P278" s="1" t="s">
        <v>167</v>
      </c>
      <c r="Q278" s="1" t="s">
        <v>1219</v>
      </c>
      <c r="R278" s="1" t="s">
        <v>1138</v>
      </c>
      <c r="S278" s="7" t="s">
        <v>203</v>
      </c>
      <c r="T278" s="6" t="s">
        <v>135</v>
      </c>
      <c r="U278" s="6"/>
      <c r="V278" s="6"/>
    </row>
    <row r="279" spans="1:22" ht="51" x14ac:dyDescent="0.2">
      <c r="A279" s="20" t="s">
        <v>919</v>
      </c>
      <c r="B279" s="2" t="s">
        <v>728</v>
      </c>
      <c r="C279" s="6" t="s">
        <v>263</v>
      </c>
      <c r="D279" s="6" t="s">
        <v>263</v>
      </c>
      <c r="E279" s="7" t="s">
        <v>143</v>
      </c>
      <c r="F279" s="6">
        <v>1897</v>
      </c>
      <c r="G279" s="6">
        <v>3</v>
      </c>
      <c r="H279" s="7" t="s">
        <v>74</v>
      </c>
      <c r="I279" s="7" t="s">
        <v>760</v>
      </c>
      <c r="J279" s="7"/>
      <c r="K279" s="7">
        <v>1897</v>
      </c>
      <c r="L279" s="7" t="s">
        <v>1191</v>
      </c>
      <c r="M279" s="7" t="s">
        <v>52</v>
      </c>
      <c r="N279" s="4" t="s">
        <v>327</v>
      </c>
      <c r="O279" s="5" t="s">
        <v>328</v>
      </c>
      <c r="P279" s="1" t="s">
        <v>167</v>
      </c>
      <c r="Q279" s="1" t="s">
        <v>1219</v>
      </c>
      <c r="R279" s="1" t="s">
        <v>1146</v>
      </c>
      <c r="S279" s="7" t="s">
        <v>203</v>
      </c>
      <c r="T279" s="6" t="s">
        <v>135</v>
      </c>
      <c r="U279" s="6"/>
      <c r="V279" s="6"/>
    </row>
    <row r="280" spans="1:22" ht="68" x14ac:dyDescent="0.2">
      <c r="A280" s="20" t="s">
        <v>920</v>
      </c>
      <c r="B280" s="2" t="s">
        <v>728</v>
      </c>
      <c r="C280" s="6" t="s">
        <v>263</v>
      </c>
      <c r="D280" s="6" t="s">
        <v>263</v>
      </c>
      <c r="E280" s="7" t="s">
        <v>143</v>
      </c>
      <c r="F280" s="6">
        <v>1895</v>
      </c>
      <c r="G280" s="6">
        <v>3</v>
      </c>
      <c r="H280" s="7" t="s">
        <v>74</v>
      </c>
      <c r="I280" s="7" t="s">
        <v>761</v>
      </c>
      <c r="J280" s="7"/>
      <c r="K280" s="7">
        <v>1895</v>
      </c>
      <c r="L280" s="7" t="s">
        <v>1191</v>
      </c>
      <c r="M280" s="7" t="s">
        <v>52</v>
      </c>
      <c r="N280" s="4" t="s">
        <v>327</v>
      </c>
      <c r="O280" s="5" t="s">
        <v>328</v>
      </c>
      <c r="P280" s="1" t="s">
        <v>167</v>
      </c>
      <c r="Q280" s="1" t="s">
        <v>1219</v>
      </c>
      <c r="R280" s="1" t="s">
        <v>1135</v>
      </c>
      <c r="S280" s="7" t="s">
        <v>203</v>
      </c>
      <c r="T280" s="6" t="s">
        <v>135</v>
      </c>
      <c r="U280" s="6"/>
      <c r="V280" s="6"/>
    </row>
    <row r="281" spans="1:22" ht="68" x14ac:dyDescent="0.2">
      <c r="A281" s="20" t="s">
        <v>921</v>
      </c>
      <c r="B281" s="2" t="s">
        <v>763</v>
      </c>
      <c r="C281" s="6" t="s">
        <v>263</v>
      </c>
      <c r="D281" s="6" t="s">
        <v>263</v>
      </c>
      <c r="E281" s="7" t="s">
        <v>948</v>
      </c>
      <c r="F281" s="6">
        <v>1898</v>
      </c>
      <c r="G281" s="6">
        <v>3</v>
      </c>
      <c r="H281" s="7" t="s">
        <v>74</v>
      </c>
      <c r="I281" s="7" t="s">
        <v>762</v>
      </c>
      <c r="J281" s="7"/>
      <c r="K281" s="7">
        <v>1898</v>
      </c>
      <c r="L281" s="7" t="s">
        <v>1191</v>
      </c>
      <c r="M281" s="7" t="s">
        <v>52</v>
      </c>
      <c r="N281" s="4" t="s">
        <v>327</v>
      </c>
      <c r="O281" s="5" t="s">
        <v>328</v>
      </c>
      <c r="P281" s="1" t="s">
        <v>167</v>
      </c>
      <c r="Q281" s="1" t="s">
        <v>1219</v>
      </c>
      <c r="R281" s="1" t="s">
        <v>1132</v>
      </c>
      <c r="S281" s="7" t="s">
        <v>203</v>
      </c>
      <c r="T281" s="6" t="s">
        <v>135</v>
      </c>
      <c r="U281" s="6"/>
      <c r="V281" s="6"/>
    </row>
    <row r="282" spans="1:22" ht="119" x14ac:dyDescent="0.2">
      <c r="A282" s="20" t="s">
        <v>922</v>
      </c>
      <c r="B282" s="2" t="s">
        <v>822</v>
      </c>
      <c r="C282" s="6" t="s">
        <v>263</v>
      </c>
      <c r="D282" s="6" t="s">
        <v>263</v>
      </c>
      <c r="E282" s="7" t="s">
        <v>823</v>
      </c>
      <c r="F282" s="6">
        <v>1876</v>
      </c>
      <c r="G282" s="6">
        <v>4</v>
      </c>
      <c r="H282" s="7" t="s">
        <v>74</v>
      </c>
      <c r="I282" s="7" t="s">
        <v>824</v>
      </c>
      <c r="J282" s="7"/>
      <c r="K282" s="7">
        <v>1859</v>
      </c>
      <c r="L282" s="1" t="s">
        <v>1189</v>
      </c>
      <c r="M282" s="7" t="s">
        <v>63</v>
      </c>
      <c r="N282" s="4" t="s">
        <v>64</v>
      </c>
      <c r="O282" s="5" t="s">
        <v>65</v>
      </c>
      <c r="P282" s="1" t="s">
        <v>167</v>
      </c>
      <c r="Q282" s="1" t="s">
        <v>1218</v>
      </c>
      <c r="R282" s="1" t="s">
        <v>1131</v>
      </c>
      <c r="S282" s="1" t="s">
        <v>66</v>
      </c>
      <c r="T282" s="1" t="s">
        <v>66</v>
      </c>
      <c r="U282" s="6"/>
      <c r="V282" s="6"/>
    </row>
    <row r="283" spans="1:22" ht="187" x14ac:dyDescent="0.2">
      <c r="A283" s="20" t="s">
        <v>923</v>
      </c>
      <c r="B283" s="1" t="s">
        <v>825</v>
      </c>
      <c r="C283" s="6" t="s">
        <v>826</v>
      </c>
      <c r="D283" s="6" t="s">
        <v>827</v>
      </c>
      <c r="E283" s="6" t="s">
        <v>828</v>
      </c>
      <c r="F283" s="6">
        <v>1888</v>
      </c>
      <c r="G283" s="6">
        <v>36</v>
      </c>
      <c r="H283" s="7" t="s">
        <v>74</v>
      </c>
      <c r="I283" s="7" t="s">
        <v>1170</v>
      </c>
      <c r="J283" s="7"/>
      <c r="K283" s="7">
        <v>1848</v>
      </c>
      <c r="L283" s="7" t="s">
        <v>1194</v>
      </c>
      <c r="M283" s="7" t="s">
        <v>1267</v>
      </c>
      <c r="N283" s="78">
        <v>-30.129359000000001</v>
      </c>
      <c r="O283" s="78">
        <v>147.39592500000001</v>
      </c>
      <c r="P283" s="1" t="s">
        <v>167</v>
      </c>
      <c r="Q283" s="1" t="s">
        <v>1219</v>
      </c>
      <c r="R283" s="1" t="s">
        <v>1142</v>
      </c>
      <c r="S283" s="7" t="s">
        <v>203</v>
      </c>
      <c r="T283" s="6" t="s">
        <v>90</v>
      </c>
      <c r="U283" s="6"/>
      <c r="V283" s="6"/>
    </row>
    <row r="284" spans="1:22" ht="153" x14ac:dyDescent="0.2">
      <c r="A284" s="20" t="s">
        <v>924</v>
      </c>
      <c r="B284" s="2" t="s">
        <v>667</v>
      </c>
      <c r="C284" s="6" t="s">
        <v>336</v>
      </c>
      <c r="D284" s="6" t="s">
        <v>337</v>
      </c>
      <c r="E284" s="6"/>
      <c r="F284" s="6">
        <v>1846</v>
      </c>
      <c r="G284" s="6">
        <v>4</v>
      </c>
      <c r="H284" s="7" t="s">
        <v>668</v>
      </c>
      <c r="I284" s="7" t="s">
        <v>1172</v>
      </c>
      <c r="J284" s="7" t="s">
        <v>669</v>
      </c>
      <c r="K284" s="7">
        <v>1846</v>
      </c>
      <c r="L284" s="7" t="s">
        <v>1194</v>
      </c>
      <c r="M284" s="7" t="s">
        <v>1267</v>
      </c>
      <c r="N284" s="78">
        <v>-30.129359000000001</v>
      </c>
      <c r="O284" s="78">
        <v>147.39592500000001</v>
      </c>
      <c r="P284" s="1" t="s">
        <v>167</v>
      </c>
      <c r="Q284" s="1" t="s">
        <v>1219</v>
      </c>
      <c r="R284" s="1" t="s">
        <v>1142</v>
      </c>
      <c r="S284" s="7" t="s">
        <v>203</v>
      </c>
      <c r="T284" s="6" t="s">
        <v>90</v>
      </c>
      <c r="U284" s="6"/>
      <c r="V284" s="6"/>
    </row>
    <row r="285" spans="1:22" ht="136" x14ac:dyDescent="0.2">
      <c r="A285" s="20" t="s">
        <v>925</v>
      </c>
      <c r="B285" s="2" t="s">
        <v>751</v>
      </c>
      <c r="C285" s="6" t="s">
        <v>263</v>
      </c>
      <c r="D285" s="6" t="s">
        <v>263</v>
      </c>
      <c r="E285" s="7" t="s">
        <v>687</v>
      </c>
      <c r="F285" s="6">
        <v>1874</v>
      </c>
      <c r="G285" s="6">
        <v>3</v>
      </c>
      <c r="H285" s="7" t="s">
        <v>74</v>
      </c>
      <c r="I285" s="7" t="s">
        <v>1124</v>
      </c>
      <c r="J285" s="7"/>
      <c r="K285" s="7">
        <v>1874</v>
      </c>
      <c r="L285" s="7" t="s">
        <v>1192</v>
      </c>
      <c r="M285" s="7" t="s">
        <v>310</v>
      </c>
      <c r="N285" s="4" t="s">
        <v>329</v>
      </c>
      <c r="O285" s="5" t="s">
        <v>330</v>
      </c>
      <c r="P285" s="1" t="s">
        <v>167</v>
      </c>
      <c r="Q285" s="1" t="s">
        <v>1219</v>
      </c>
      <c r="R285" s="1" t="s">
        <v>1134</v>
      </c>
      <c r="S285" s="7" t="s">
        <v>203</v>
      </c>
      <c r="T285" s="6" t="s">
        <v>51</v>
      </c>
      <c r="U285" s="6"/>
      <c r="V285" s="6"/>
    </row>
    <row r="286" spans="1:22" ht="187" x14ac:dyDescent="0.2">
      <c r="A286" s="20" t="s">
        <v>926</v>
      </c>
      <c r="B286" s="2" t="s">
        <v>699</v>
      </c>
      <c r="C286" s="6" t="s">
        <v>263</v>
      </c>
      <c r="D286" s="6" t="s">
        <v>263</v>
      </c>
      <c r="E286" s="7" t="s">
        <v>700</v>
      </c>
      <c r="F286" s="6">
        <v>1890</v>
      </c>
      <c r="G286" s="6">
        <v>5</v>
      </c>
      <c r="H286" s="7" t="s">
        <v>74</v>
      </c>
      <c r="I286" s="7" t="s">
        <v>698</v>
      </c>
      <c r="J286" s="7"/>
      <c r="K286" s="7">
        <v>1849</v>
      </c>
      <c r="L286" s="7" t="s">
        <v>1194</v>
      </c>
      <c r="M286" s="7" t="s">
        <v>29</v>
      </c>
      <c r="N286" s="4" t="s">
        <v>11</v>
      </c>
      <c r="O286" s="5">
        <v>147.321425002133</v>
      </c>
      <c r="P286" s="1" t="s">
        <v>167</v>
      </c>
      <c r="Q286" s="1" t="s">
        <v>1219</v>
      </c>
      <c r="R286" s="1" t="s">
        <v>1151</v>
      </c>
      <c r="S286" s="7" t="s">
        <v>203</v>
      </c>
      <c r="T286" s="6" t="s">
        <v>90</v>
      </c>
      <c r="U286" s="6"/>
      <c r="V286" s="6"/>
    </row>
    <row r="287" spans="1:22" ht="136" x14ac:dyDescent="0.2">
      <c r="A287" s="20" t="s">
        <v>927</v>
      </c>
      <c r="B287" s="2" t="s">
        <v>667</v>
      </c>
      <c r="C287" s="6" t="s">
        <v>336</v>
      </c>
      <c r="D287" s="6" t="s">
        <v>337</v>
      </c>
      <c r="E287" s="6"/>
      <c r="F287" s="6">
        <v>1846</v>
      </c>
      <c r="G287" s="6">
        <v>4</v>
      </c>
      <c r="H287" s="7" t="s">
        <v>668</v>
      </c>
      <c r="I287" s="7" t="s">
        <v>1125</v>
      </c>
      <c r="J287" s="7"/>
      <c r="K287" s="7">
        <v>1846</v>
      </c>
      <c r="L287" s="7" t="s">
        <v>1194</v>
      </c>
      <c r="M287" s="7" t="s">
        <v>77</v>
      </c>
      <c r="N287" s="46" t="s">
        <v>78</v>
      </c>
      <c r="O287" s="48" t="s">
        <v>79</v>
      </c>
      <c r="P287" s="43" t="s">
        <v>167</v>
      </c>
      <c r="Q287" s="43" t="s">
        <v>1219</v>
      </c>
      <c r="R287" s="1" t="s">
        <v>1139</v>
      </c>
      <c r="S287" s="7" t="s">
        <v>247</v>
      </c>
      <c r="T287" s="6" t="s">
        <v>138</v>
      </c>
      <c r="U287" s="6"/>
      <c r="V287" s="6"/>
    </row>
    <row r="288" spans="1:22" ht="119" x14ac:dyDescent="0.2">
      <c r="A288" s="20" t="s">
        <v>928</v>
      </c>
      <c r="B288" s="1" t="s">
        <v>692</v>
      </c>
      <c r="C288" s="6" t="s">
        <v>263</v>
      </c>
      <c r="D288" s="6" t="s">
        <v>263</v>
      </c>
      <c r="E288" s="7" t="s">
        <v>693</v>
      </c>
      <c r="F288" s="6">
        <v>1899</v>
      </c>
      <c r="G288" s="6">
        <v>1023</v>
      </c>
      <c r="H288" s="7" t="s">
        <v>74</v>
      </c>
      <c r="I288" s="7" t="s">
        <v>1126</v>
      </c>
      <c r="J288" s="7"/>
      <c r="K288" s="7">
        <v>1860</v>
      </c>
      <c r="L288" s="7" t="s">
        <v>1190</v>
      </c>
      <c r="M288" s="7" t="s">
        <v>77</v>
      </c>
      <c r="N288" s="4" t="s">
        <v>78</v>
      </c>
      <c r="O288" s="5" t="s">
        <v>79</v>
      </c>
      <c r="P288" s="1" t="s">
        <v>167</v>
      </c>
      <c r="Q288" s="1" t="s">
        <v>1219</v>
      </c>
      <c r="R288" s="1" t="s">
        <v>1138</v>
      </c>
      <c r="S288" s="7" t="s">
        <v>247</v>
      </c>
      <c r="T288" s="6" t="s">
        <v>138</v>
      </c>
      <c r="U288" s="6"/>
      <c r="V288" s="6"/>
    </row>
    <row r="289" spans="1:22" ht="68" x14ac:dyDescent="0.2">
      <c r="A289" s="20" t="s">
        <v>929</v>
      </c>
      <c r="B289" s="2" t="s">
        <v>694</v>
      </c>
      <c r="C289" s="6" t="s">
        <v>263</v>
      </c>
      <c r="D289" s="6" t="s">
        <v>263</v>
      </c>
      <c r="E289" s="7" t="s">
        <v>143</v>
      </c>
      <c r="F289" s="6">
        <v>1873</v>
      </c>
      <c r="G289" s="6">
        <v>3</v>
      </c>
      <c r="H289" s="7" t="s">
        <v>74</v>
      </c>
      <c r="I289" s="7" t="s">
        <v>1120</v>
      </c>
      <c r="J289" s="7"/>
      <c r="K289" s="7">
        <v>1872</v>
      </c>
      <c r="L289" s="7" t="s">
        <v>1192</v>
      </c>
      <c r="M289" s="7" t="s">
        <v>77</v>
      </c>
      <c r="N289" s="4" t="s">
        <v>78</v>
      </c>
      <c r="O289" s="5" t="s">
        <v>79</v>
      </c>
      <c r="P289" s="1" t="s">
        <v>167</v>
      </c>
      <c r="Q289" s="1" t="s">
        <v>1219</v>
      </c>
      <c r="R289" s="1" t="s">
        <v>1146</v>
      </c>
      <c r="S289" s="7" t="s">
        <v>203</v>
      </c>
      <c r="T289" s="6" t="s">
        <v>135</v>
      </c>
      <c r="U289" s="6"/>
      <c r="V289" s="6"/>
    </row>
    <row r="290" spans="1:22" ht="96" customHeight="1" x14ac:dyDescent="0.2">
      <c r="A290" s="20" t="s">
        <v>930</v>
      </c>
      <c r="B290" s="2" t="s">
        <v>697</v>
      </c>
      <c r="C290" s="6" t="s">
        <v>263</v>
      </c>
      <c r="D290" s="6" t="s">
        <v>263</v>
      </c>
      <c r="E290" s="7" t="s">
        <v>143</v>
      </c>
      <c r="F290" s="6">
        <v>1895</v>
      </c>
      <c r="G290" s="6">
        <v>5</v>
      </c>
      <c r="H290" s="7" t="s">
        <v>74</v>
      </c>
      <c r="I290" s="7" t="s">
        <v>1127</v>
      </c>
      <c r="J290" s="7"/>
      <c r="K290" s="7">
        <v>1895</v>
      </c>
      <c r="L290" s="7" t="s">
        <v>1191</v>
      </c>
      <c r="M290" s="7" t="s">
        <v>77</v>
      </c>
      <c r="N290" s="4" t="s">
        <v>78</v>
      </c>
      <c r="O290" s="5" t="s">
        <v>79</v>
      </c>
      <c r="P290" s="1" t="s">
        <v>167</v>
      </c>
      <c r="Q290" s="1" t="s">
        <v>1219</v>
      </c>
      <c r="R290" s="1" t="s">
        <v>1151</v>
      </c>
      <c r="S290" s="7" t="s">
        <v>3</v>
      </c>
      <c r="T290" s="6" t="s">
        <v>3</v>
      </c>
      <c r="U290" s="6"/>
      <c r="V290" s="6"/>
    </row>
    <row r="291" spans="1:22" ht="51" x14ac:dyDescent="0.2">
      <c r="A291" s="20" t="s">
        <v>931</v>
      </c>
      <c r="B291" s="2" t="s">
        <v>701</v>
      </c>
      <c r="C291" s="6" t="s">
        <v>263</v>
      </c>
      <c r="D291" s="6" t="s">
        <v>263</v>
      </c>
      <c r="E291" s="7" t="s">
        <v>702</v>
      </c>
      <c r="F291" s="6">
        <v>1873</v>
      </c>
      <c r="G291" s="6">
        <v>4</v>
      </c>
      <c r="H291" s="7" t="s">
        <v>74</v>
      </c>
      <c r="I291" s="7" t="s">
        <v>1121</v>
      </c>
      <c r="J291" s="7"/>
      <c r="K291" s="7">
        <v>1872</v>
      </c>
      <c r="L291" s="7" t="s">
        <v>1192</v>
      </c>
      <c r="M291" s="7" t="s">
        <v>77</v>
      </c>
      <c r="N291" s="4" t="s">
        <v>78</v>
      </c>
      <c r="O291" s="5" t="s">
        <v>79</v>
      </c>
      <c r="P291" s="1" t="s">
        <v>167</v>
      </c>
      <c r="Q291" s="1" t="s">
        <v>1219</v>
      </c>
      <c r="R291" s="1" t="s">
        <v>1146</v>
      </c>
      <c r="S291" s="7" t="s">
        <v>203</v>
      </c>
      <c r="T291" s="6" t="s">
        <v>135</v>
      </c>
      <c r="U291" s="6"/>
      <c r="V291" s="6"/>
    </row>
    <row r="292" spans="1:22" ht="85" x14ac:dyDescent="0.2">
      <c r="A292" s="20" t="s">
        <v>932</v>
      </c>
      <c r="B292" s="2" t="s">
        <v>745</v>
      </c>
      <c r="C292" s="6" t="s">
        <v>263</v>
      </c>
      <c r="D292" s="6" t="s">
        <v>263</v>
      </c>
      <c r="E292" s="7" t="s">
        <v>746</v>
      </c>
      <c r="F292" s="6">
        <v>1898</v>
      </c>
      <c r="G292" s="6">
        <v>2</v>
      </c>
      <c r="H292" s="7" t="s">
        <v>74</v>
      </c>
      <c r="I292" s="7" t="s">
        <v>744</v>
      </c>
      <c r="J292" s="7"/>
      <c r="K292" s="7">
        <v>1898</v>
      </c>
      <c r="L292" s="7" t="s">
        <v>1191</v>
      </c>
      <c r="M292" s="7" t="s">
        <v>54</v>
      </c>
      <c r="N292" s="4" t="s">
        <v>55</v>
      </c>
      <c r="O292" s="5" t="s">
        <v>56</v>
      </c>
      <c r="P292" s="1" t="s">
        <v>167</v>
      </c>
      <c r="Q292" s="1" t="s">
        <v>1219</v>
      </c>
      <c r="R292" s="1" t="s">
        <v>1134</v>
      </c>
      <c r="S292" s="7" t="s">
        <v>203</v>
      </c>
      <c r="T292" s="6" t="s">
        <v>51</v>
      </c>
      <c r="U292" s="6"/>
      <c r="V292" s="6"/>
    </row>
    <row r="293" spans="1:22" ht="85" x14ac:dyDescent="0.2">
      <c r="A293" s="20" t="s">
        <v>933</v>
      </c>
      <c r="B293" s="2" t="s">
        <v>717</v>
      </c>
      <c r="C293" s="6" t="s">
        <v>782</v>
      </c>
      <c r="D293" s="6" t="s">
        <v>783</v>
      </c>
      <c r="E293" s="7" t="s">
        <v>143</v>
      </c>
      <c r="F293" s="6">
        <v>1890</v>
      </c>
      <c r="G293" s="6">
        <v>9</v>
      </c>
      <c r="H293" s="7" t="s">
        <v>74</v>
      </c>
      <c r="I293" s="7" t="s">
        <v>781</v>
      </c>
      <c r="J293" s="7"/>
      <c r="K293" s="7">
        <v>1889</v>
      </c>
      <c r="L293" s="7" t="s">
        <v>1193</v>
      </c>
      <c r="M293" s="7" t="s">
        <v>67</v>
      </c>
      <c r="N293" s="5" t="s">
        <v>68</v>
      </c>
      <c r="O293" s="48" t="s">
        <v>69</v>
      </c>
      <c r="P293" s="43" t="s">
        <v>1246</v>
      </c>
      <c r="Q293" s="43" t="s">
        <v>1219</v>
      </c>
      <c r="R293" s="1" t="s">
        <v>1132</v>
      </c>
      <c r="S293" s="7" t="s">
        <v>203</v>
      </c>
      <c r="T293" s="6" t="s">
        <v>135</v>
      </c>
      <c r="U293" s="6"/>
      <c r="V293" s="6"/>
    </row>
    <row r="294" spans="1:22" ht="51" x14ac:dyDescent="0.2">
      <c r="A294" s="20" t="s">
        <v>934</v>
      </c>
      <c r="B294" s="2" t="s">
        <v>785</v>
      </c>
      <c r="C294" s="6" t="s">
        <v>263</v>
      </c>
      <c r="D294" s="6" t="s">
        <v>263</v>
      </c>
      <c r="E294" s="7" t="s">
        <v>143</v>
      </c>
      <c r="F294" s="6">
        <v>1881</v>
      </c>
      <c r="G294" s="6">
        <v>514</v>
      </c>
      <c r="H294" s="7" t="s">
        <v>74</v>
      </c>
      <c r="I294" s="7" t="s">
        <v>784</v>
      </c>
      <c r="J294" s="7"/>
      <c r="K294" s="7">
        <v>1881</v>
      </c>
      <c r="L294" s="7" t="s">
        <v>1193</v>
      </c>
      <c r="M294" s="7" t="s">
        <v>67</v>
      </c>
      <c r="N294" s="5" t="s">
        <v>68</v>
      </c>
      <c r="O294" s="5" t="s">
        <v>69</v>
      </c>
      <c r="P294" s="7" t="s">
        <v>1246</v>
      </c>
      <c r="Q294" s="7" t="s">
        <v>1219</v>
      </c>
      <c r="R294" s="1" t="s">
        <v>1135</v>
      </c>
      <c r="S294" s="7" t="s">
        <v>3</v>
      </c>
      <c r="T294" s="6" t="s">
        <v>3</v>
      </c>
      <c r="U294" s="6"/>
      <c r="V294" s="6"/>
    </row>
    <row r="295" spans="1:22" ht="85" x14ac:dyDescent="0.2">
      <c r="A295" s="20" t="s">
        <v>935</v>
      </c>
      <c r="B295" s="1" t="s">
        <v>792</v>
      </c>
      <c r="C295" s="6" t="s">
        <v>263</v>
      </c>
      <c r="D295" s="6" t="s">
        <v>263</v>
      </c>
      <c r="E295" s="7" t="s">
        <v>144</v>
      </c>
      <c r="F295" s="6">
        <v>1878</v>
      </c>
      <c r="G295" s="6">
        <v>407</v>
      </c>
      <c r="H295" s="7" t="s">
        <v>74</v>
      </c>
      <c r="I295" s="7" t="s">
        <v>791</v>
      </c>
      <c r="J295" s="7"/>
      <c r="K295" s="7">
        <v>1878</v>
      </c>
      <c r="L295" s="7" t="s">
        <v>1192</v>
      </c>
      <c r="M295" s="7" t="s">
        <v>67</v>
      </c>
      <c r="N295" s="48" t="s">
        <v>68</v>
      </c>
      <c r="O295" s="48" t="s">
        <v>69</v>
      </c>
      <c r="P295" s="44" t="s">
        <v>1246</v>
      </c>
      <c r="Q295" s="44" t="s">
        <v>1219</v>
      </c>
      <c r="R295" s="1" t="s">
        <v>1138</v>
      </c>
      <c r="S295" s="7" t="s">
        <v>3</v>
      </c>
      <c r="T295" s="6" t="s">
        <v>3</v>
      </c>
      <c r="U295" s="6"/>
      <c r="V295" s="6"/>
    </row>
    <row r="296" spans="1:22" ht="85" x14ac:dyDescent="0.2">
      <c r="A296" s="20" t="s">
        <v>936</v>
      </c>
      <c r="B296" s="2" t="s">
        <v>770</v>
      </c>
      <c r="C296" s="6" t="s">
        <v>263</v>
      </c>
      <c r="D296" s="6" t="s">
        <v>263</v>
      </c>
      <c r="E296" s="7" t="s">
        <v>771</v>
      </c>
      <c r="F296" s="6">
        <v>1892</v>
      </c>
      <c r="G296" s="6">
        <v>1</v>
      </c>
      <c r="H296" s="7" t="s">
        <v>74</v>
      </c>
      <c r="I296" s="7" t="s">
        <v>769</v>
      </c>
      <c r="J296" s="7"/>
      <c r="K296" s="7">
        <v>1892</v>
      </c>
      <c r="L296" s="7" t="s">
        <v>1191</v>
      </c>
      <c r="M296" s="1" t="s">
        <v>1270</v>
      </c>
      <c r="N296" s="4" t="s">
        <v>332</v>
      </c>
      <c r="O296" s="5" t="s">
        <v>331</v>
      </c>
      <c r="P296" s="1" t="s">
        <v>167</v>
      </c>
      <c r="Q296" s="1" t="s">
        <v>1219</v>
      </c>
      <c r="R296" s="1" t="s">
        <v>1134</v>
      </c>
      <c r="S296" s="7" t="s">
        <v>203</v>
      </c>
      <c r="T296" s="6" t="s">
        <v>51</v>
      </c>
      <c r="U296" s="6"/>
      <c r="V296" s="6"/>
    </row>
    <row r="297" spans="1:22" ht="102" x14ac:dyDescent="0.2">
      <c r="A297" s="20" t="s">
        <v>937</v>
      </c>
      <c r="B297" s="2" t="s">
        <v>776</v>
      </c>
      <c r="C297" s="6" t="s">
        <v>263</v>
      </c>
      <c r="D297" s="6" t="s">
        <v>263</v>
      </c>
      <c r="E297" s="7" t="s">
        <v>957</v>
      </c>
      <c r="F297" s="6">
        <v>1893</v>
      </c>
      <c r="G297" s="6">
        <v>2</v>
      </c>
      <c r="H297" s="7" t="s">
        <v>74</v>
      </c>
      <c r="I297" s="7" t="s">
        <v>774</v>
      </c>
      <c r="J297" s="7"/>
      <c r="K297" s="7">
        <v>1893</v>
      </c>
      <c r="L297" s="7" t="s">
        <v>1191</v>
      </c>
      <c r="M297" s="1" t="s">
        <v>1270</v>
      </c>
      <c r="N297" s="7">
        <v>-29.043156444734901</v>
      </c>
      <c r="O297" s="16">
        <v>146.98436509614299</v>
      </c>
      <c r="P297" s="7" t="s">
        <v>167</v>
      </c>
      <c r="Q297" s="7" t="s">
        <v>1219</v>
      </c>
      <c r="R297" s="1" t="s">
        <v>1134</v>
      </c>
      <c r="S297" s="7" t="s">
        <v>203</v>
      </c>
      <c r="T297" s="6" t="s">
        <v>51</v>
      </c>
      <c r="U297" s="6"/>
      <c r="V297" s="6"/>
    </row>
    <row r="298" spans="1:22" ht="153" x14ac:dyDescent="0.2">
      <c r="A298" s="20" t="s">
        <v>1260</v>
      </c>
      <c r="B298" s="2" t="s">
        <v>680</v>
      </c>
      <c r="C298" s="6" t="s">
        <v>263</v>
      </c>
      <c r="D298" s="6" t="s">
        <v>263</v>
      </c>
      <c r="E298" s="7" t="s">
        <v>143</v>
      </c>
      <c r="F298" s="6">
        <v>1864</v>
      </c>
      <c r="G298" s="6">
        <v>4</v>
      </c>
      <c r="H298" s="7" t="s">
        <v>74</v>
      </c>
      <c r="I298" s="7" t="s">
        <v>1128</v>
      </c>
      <c r="J298" s="7"/>
      <c r="K298" s="7">
        <v>1864</v>
      </c>
      <c r="L298" s="7" t="s">
        <v>1190</v>
      </c>
      <c r="M298" s="7" t="s">
        <v>165</v>
      </c>
      <c r="N298" s="4" t="s">
        <v>185</v>
      </c>
      <c r="O298" s="5" t="s">
        <v>186</v>
      </c>
      <c r="P298" s="1" t="s">
        <v>167</v>
      </c>
      <c r="Q298" s="1" t="s">
        <v>1219</v>
      </c>
      <c r="R298" s="1" t="s">
        <v>1135</v>
      </c>
      <c r="S298" s="7" t="s">
        <v>3</v>
      </c>
      <c r="T298" s="6" t="s">
        <v>3</v>
      </c>
      <c r="U298" s="6"/>
      <c r="V298" s="6"/>
    </row>
    <row r="299" spans="1:22" ht="68" x14ac:dyDescent="0.2">
      <c r="A299" s="20" t="s">
        <v>1261</v>
      </c>
      <c r="B299" s="2" t="s">
        <v>725</v>
      </c>
      <c r="C299" s="6" t="s">
        <v>263</v>
      </c>
      <c r="D299" s="6" t="s">
        <v>263</v>
      </c>
      <c r="E299" s="7" t="s">
        <v>140</v>
      </c>
      <c r="F299" s="6">
        <v>1899</v>
      </c>
      <c r="G299" s="6">
        <v>3</v>
      </c>
      <c r="H299" s="7" t="s">
        <v>74</v>
      </c>
      <c r="I299" s="7" t="s">
        <v>736</v>
      </c>
      <c r="J299" s="7"/>
      <c r="K299" s="7">
        <v>1899</v>
      </c>
      <c r="L299" s="7" t="s">
        <v>1191</v>
      </c>
      <c r="M299" s="7" t="s">
        <v>165</v>
      </c>
      <c r="N299" s="4" t="s">
        <v>185</v>
      </c>
      <c r="O299" s="5" t="s">
        <v>186</v>
      </c>
      <c r="P299" s="1" t="s">
        <v>167</v>
      </c>
      <c r="Q299" s="1" t="s">
        <v>1219</v>
      </c>
      <c r="R299" s="1" t="s">
        <v>1146</v>
      </c>
      <c r="S299" s="7" t="s">
        <v>203</v>
      </c>
      <c r="T299" s="6" t="s">
        <v>135</v>
      </c>
      <c r="U299" s="6"/>
      <c r="V299" s="6"/>
    </row>
    <row r="300" spans="1:22" ht="102" customHeight="1" x14ac:dyDescent="0.2">
      <c r="A300" s="20" t="s">
        <v>1262</v>
      </c>
      <c r="B300" s="2" t="s">
        <v>728</v>
      </c>
      <c r="C300" s="6" t="s">
        <v>263</v>
      </c>
      <c r="D300" s="6" t="s">
        <v>263</v>
      </c>
      <c r="E300" s="7" t="s">
        <v>696</v>
      </c>
      <c r="F300" s="6">
        <v>1896</v>
      </c>
      <c r="G300" s="6">
        <v>5</v>
      </c>
      <c r="H300" s="7" t="s">
        <v>74</v>
      </c>
      <c r="I300" s="7" t="s">
        <v>739</v>
      </c>
      <c r="J300" s="7"/>
      <c r="K300" s="7">
        <v>1896</v>
      </c>
      <c r="L300" s="7" t="s">
        <v>1191</v>
      </c>
      <c r="M300" s="7" t="s">
        <v>165</v>
      </c>
      <c r="N300" s="4" t="s">
        <v>185</v>
      </c>
      <c r="O300" s="16">
        <v>148.12201950395701</v>
      </c>
      <c r="P300" s="7" t="s">
        <v>167</v>
      </c>
      <c r="Q300" s="7" t="s">
        <v>1219</v>
      </c>
      <c r="R300" s="1" t="s">
        <v>1146</v>
      </c>
      <c r="S300" s="7" t="s">
        <v>203</v>
      </c>
      <c r="T300" s="6" t="s">
        <v>135</v>
      </c>
      <c r="U300" s="6"/>
      <c r="V300" s="6"/>
    </row>
    <row r="301" spans="1:22" ht="51" x14ac:dyDescent="0.2">
      <c r="A301" s="20" t="s">
        <v>1263</v>
      </c>
      <c r="B301" s="2" t="s">
        <v>728</v>
      </c>
      <c r="C301" s="6" t="s">
        <v>263</v>
      </c>
      <c r="D301" s="6" t="s">
        <v>263</v>
      </c>
      <c r="E301" s="7" t="s">
        <v>143</v>
      </c>
      <c r="F301" s="6">
        <v>1897</v>
      </c>
      <c r="G301" s="6">
        <v>3</v>
      </c>
      <c r="H301" s="7" t="s">
        <v>74</v>
      </c>
      <c r="I301" s="7" t="s">
        <v>760</v>
      </c>
      <c r="J301" s="7"/>
      <c r="K301" s="7">
        <v>1897</v>
      </c>
      <c r="L301" s="7" t="s">
        <v>1191</v>
      </c>
      <c r="M301" s="7" t="s">
        <v>165</v>
      </c>
      <c r="N301" s="7">
        <v>-30.024171301588702</v>
      </c>
      <c r="O301" s="7">
        <v>148.12201950395701</v>
      </c>
      <c r="P301" s="7" t="s">
        <v>167</v>
      </c>
      <c r="Q301" s="7" t="s">
        <v>1219</v>
      </c>
      <c r="R301" s="1" t="s">
        <v>1146</v>
      </c>
      <c r="S301" s="7" t="s">
        <v>203</v>
      </c>
      <c r="T301" s="6" t="s">
        <v>135</v>
      </c>
      <c r="U301" s="6"/>
      <c r="V301" s="6"/>
    </row>
    <row r="302" spans="1:22" ht="85" x14ac:dyDescent="0.2">
      <c r="A302" s="20" t="s">
        <v>1264</v>
      </c>
      <c r="B302" s="2" t="s">
        <v>751</v>
      </c>
      <c r="C302" s="6" t="s">
        <v>263</v>
      </c>
      <c r="D302" s="6" t="s">
        <v>263</v>
      </c>
      <c r="E302" s="7" t="s">
        <v>687</v>
      </c>
      <c r="F302" s="6">
        <v>1875</v>
      </c>
      <c r="G302" s="6">
        <v>4</v>
      </c>
      <c r="H302" s="7" t="s">
        <v>74</v>
      </c>
      <c r="I302" s="7" t="s">
        <v>1129</v>
      </c>
      <c r="J302" s="7"/>
      <c r="K302" s="7">
        <v>1875</v>
      </c>
      <c r="L302" s="7" t="s">
        <v>1192</v>
      </c>
      <c r="M302" s="7" t="s">
        <v>165</v>
      </c>
      <c r="N302" s="7">
        <v>-30.024171301588702</v>
      </c>
      <c r="O302" s="16">
        <v>148.12201950395701</v>
      </c>
      <c r="P302" s="7" t="s">
        <v>167</v>
      </c>
      <c r="Q302" s="7" t="s">
        <v>1219</v>
      </c>
      <c r="R302" s="1" t="s">
        <v>1150</v>
      </c>
      <c r="S302" s="7" t="s">
        <v>3</v>
      </c>
      <c r="T302" s="6" t="s">
        <v>3</v>
      </c>
      <c r="U302" s="6"/>
      <c r="V302" s="6"/>
    </row>
    <row r="303" spans="1:22" ht="137" customHeight="1" x14ac:dyDescent="0.2">
      <c r="A303" s="20" t="s">
        <v>938</v>
      </c>
      <c r="B303" s="2" t="s">
        <v>165</v>
      </c>
      <c r="C303" s="6" t="s">
        <v>263</v>
      </c>
      <c r="D303" s="6" t="s">
        <v>263</v>
      </c>
      <c r="E303" s="7" t="s">
        <v>687</v>
      </c>
      <c r="F303" s="6">
        <v>1879</v>
      </c>
      <c r="G303" s="6">
        <v>2</v>
      </c>
      <c r="H303" s="7" t="s">
        <v>74</v>
      </c>
      <c r="I303" s="7" t="s">
        <v>840</v>
      </c>
      <c r="J303" s="7"/>
      <c r="K303" s="7">
        <v>1879</v>
      </c>
      <c r="L303" s="7" t="s">
        <v>1192</v>
      </c>
      <c r="M303" s="7" t="s">
        <v>165</v>
      </c>
      <c r="N303" s="7">
        <v>-30.024171301588702</v>
      </c>
      <c r="O303" s="7">
        <v>148.12201950395701</v>
      </c>
      <c r="P303" s="7" t="s">
        <v>167</v>
      </c>
      <c r="Q303" s="7" t="s">
        <v>1219</v>
      </c>
      <c r="R303" s="1" t="s">
        <v>1138</v>
      </c>
      <c r="S303" s="7" t="s">
        <v>3</v>
      </c>
      <c r="T303" s="6" t="s">
        <v>3</v>
      </c>
      <c r="U303" s="6"/>
      <c r="V303" s="6"/>
    </row>
    <row r="304" spans="1:22" ht="167" customHeight="1" x14ac:dyDescent="0.2">
      <c r="A304" s="20" t="s">
        <v>939</v>
      </c>
      <c r="B304" s="2" t="s">
        <v>770</v>
      </c>
      <c r="C304" s="6" t="s">
        <v>263</v>
      </c>
      <c r="D304" s="6" t="s">
        <v>263</v>
      </c>
      <c r="E304" s="7" t="s">
        <v>771</v>
      </c>
      <c r="F304" s="6">
        <v>1892</v>
      </c>
      <c r="G304" s="6">
        <v>1</v>
      </c>
      <c r="H304" s="7" t="s">
        <v>74</v>
      </c>
      <c r="I304" s="7" t="s">
        <v>1157</v>
      </c>
      <c r="J304" s="7"/>
      <c r="K304" s="7">
        <v>1892</v>
      </c>
      <c r="L304" s="7" t="s">
        <v>1191</v>
      </c>
      <c r="M304" s="7" t="s">
        <v>124</v>
      </c>
      <c r="N304" s="4" t="s">
        <v>576</v>
      </c>
      <c r="O304" s="3">
        <v>146.92184</v>
      </c>
      <c r="P304" s="1" t="s">
        <v>1246</v>
      </c>
      <c r="Q304" s="1" t="s">
        <v>220</v>
      </c>
      <c r="R304" s="1" t="s">
        <v>1134</v>
      </c>
      <c r="S304" s="7" t="s">
        <v>203</v>
      </c>
      <c r="T304" s="6" t="s">
        <v>51</v>
      </c>
      <c r="U304" s="6"/>
      <c r="V304" s="6"/>
    </row>
    <row r="305" spans="1:22" ht="104" customHeight="1" x14ac:dyDescent="0.2">
      <c r="A305" s="20" t="s">
        <v>940</v>
      </c>
      <c r="B305" s="2" t="s">
        <v>773</v>
      </c>
      <c r="C305" s="6" t="s">
        <v>263</v>
      </c>
      <c r="D305" s="6" t="s">
        <v>263</v>
      </c>
      <c r="E305" s="7" t="s">
        <v>746</v>
      </c>
      <c r="F305" s="6">
        <v>1894</v>
      </c>
      <c r="G305" s="6">
        <v>3</v>
      </c>
      <c r="H305" s="7" t="s">
        <v>74</v>
      </c>
      <c r="I305" s="7" t="s">
        <v>772</v>
      </c>
      <c r="J305" s="7"/>
      <c r="K305" s="7">
        <v>1894</v>
      </c>
      <c r="L305" s="7" t="s">
        <v>1191</v>
      </c>
      <c r="M305" s="7" t="s">
        <v>124</v>
      </c>
      <c r="N305" s="4" t="s">
        <v>576</v>
      </c>
      <c r="O305" s="3">
        <v>146.92184</v>
      </c>
      <c r="P305" s="1" t="s">
        <v>1246</v>
      </c>
      <c r="Q305" s="1" t="s">
        <v>220</v>
      </c>
      <c r="R305" s="1" t="s">
        <v>1134</v>
      </c>
      <c r="S305" s="7" t="s">
        <v>203</v>
      </c>
      <c r="T305" s="6" t="s">
        <v>51</v>
      </c>
      <c r="U305" s="6"/>
      <c r="V305" s="6"/>
    </row>
    <row r="306" spans="1:22" ht="153" x14ac:dyDescent="0.2">
      <c r="A306" s="20" t="s">
        <v>941</v>
      </c>
      <c r="B306" s="2" t="s">
        <v>165</v>
      </c>
      <c r="C306" s="6" t="s">
        <v>263</v>
      </c>
      <c r="D306" s="6" t="s">
        <v>263</v>
      </c>
      <c r="E306" s="7" t="s">
        <v>687</v>
      </c>
      <c r="F306" s="6">
        <v>1870</v>
      </c>
      <c r="G306" s="6">
        <v>4</v>
      </c>
      <c r="H306" s="7" t="s">
        <v>74</v>
      </c>
      <c r="I306" s="7" t="s">
        <v>1130</v>
      </c>
      <c r="J306" s="7"/>
      <c r="K306" s="7">
        <v>1870</v>
      </c>
      <c r="L306" s="7" t="s">
        <v>1192</v>
      </c>
      <c r="M306" s="7" t="s">
        <v>839</v>
      </c>
      <c r="N306" s="1">
        <v>-29.910920000000001</v>
      </c>
      <c r="O306" s="3">
        <v>147.67271</v>
      </c>
      <c r="P306" s="1" t="s">
        <v>1246</v>
      </c>
      <c r="Q306" s="1" t="s">
        <v>1219</v>
      </c>
      <c r="R306" s="1" t="s">
        <v>1142</v>
      </c>
      <c r="S306" s="7" t="s">
        <v>3</v>
      </c>
      <c r="T306" s="6" t="s">
        <v>3</v>
      </c>
      <c r="U306" s="6"/>
      <c r="V306" s="6"/>
    </row>
    <row r="307" spans="1:22" ht="102" x14ac:dyDescent="0.2">
      <c r="A307" s="20" t="s">
        <v>942</v>
      </c>
      <c r="B307" s="1" t="s">
        <v>842</v>
      </c>
      <c r="C307" s="6" t="s">
        <v>263</v>
      </c>
      <c r="D307" s="6" t="s">
        <v>263</v>
      </c>
      <c r="E307" s="7" t="s">
        <v>144</v>
      </c>
      <c r="F307" s="6">
        <v>1875</v>
      </c>
      <c r="G307" s="6">
        <v>190</v>
      </c>
      <c r="H307" s="7" t="s">
        <v>74</v>
      </c>
      <c r="I307" s="7" t="s">
        <v>841</v>
      </c>
      <c r="J307" s="7"/>
      <c r="K307" s="7">
        <v>1875</v>
      </c>
      <c r="L307" s="7" t="s">
        <v>1192</v>
      </c>
      <c r="M307" s="7" t="s">
        <v>843</v>
      </c>
      <c r="N307" s="4">
        <v>-30.269639999999999</v>
      </c>
      <c r="O307" s="5">
        <v>147.21550999999999</v>
      </c>
      <c r="P307" s="1" t="s">
        <v>1246</v>
      </c>
      <c r="Q307" s="1" t="s">
        <v>1219</v>
      </c>
      <c r="R307" s="1" t="s">
        <v>1138</v>
      </c>
      <c r="S307" s="7" t="s">
        <v>3</v>
      </c>
      <c r="T307" s="6" t="s">
        <v>3</v>
      </c>
      <c r="U307" s="6"/>
      <c r="V307" s="6"/>
    </row>
  </sheetData>
  <sortState xmlns:xlrd2="http://schemas.microsoft.com/office/spreadsheetml/2017/richdata2" ref="A2:V209">
    <sortCondition ref="M1:M209"/>
  </sortState>
  <phoneticPr fontId="1" type="noConversion"/>
  <dataValidations count="2">
    <dataValidation type="list" allowBlank="1" showInputMessage="1" showErrorMessage="1" sqref="R2:R307" xr:uid="{306E5952-2E69-D149-B9F9-16A42F44D32D}">
      <formula1>"AR,CG,DR,FR,GS,ID,IK,OL,PR,SE,VD"</formula1>
    </dataValidation>
    <dataValidation type="list" allowBlank="1" showInputMessage="1" showErrorMessage="1" sqref="L2:L307" xr:uid="{24AC3390-8CB7-C34F-8D27-34065B50504B}">
      <formula1>"1840-1849,1850-1859,1860-1869,1870-1879,1880-1889,1890-1899,1900,Dreamtime,Unknown pre-1840,Unknown 1840-1900"</formula1>
    </dataValidation>
  </dataValidations>
  <pageMargins left="0.7" right="0.7" top="0.75" bottom="0.75" header="0.3" footer="0.3"/>
  <pageSetup paperSize="9"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F502B-8EB6-AF45-85A4-E2BBE4C57225}">
  <dimension ref="B2:AG92"/>
  <sheetViews>
    <sheetView topLeftCell="A25" zoomScale="110" zoomScaleNormal="110" workbookViewId="0">
      <selection activeCell="Q54" sqref="Q54"/>
    </sheetView>
  </sheetViews>
  <sheetFormatPr baseColWidth="10" defaultRowHeight="16" x14ac:dyDescent="0.2"/>
  <cols>
    <col min="1" max="1" width="3.83203125" customWidth="1"/>
    <col min="2" max="3" width="19.33203125" bestFit="1" customWidth="1"/>
    <col min="4" max="4" width="11.6640625" bestFit="1" customWidth="1"/>
    <col min="5" max="5" width="11" bestFit="1" customWidth="1"/>
    <col min="6" max="6" width="12" bestFit="1" customWidth="1"/>
    <col min="7" max="7" width="15.83203125" bestFit="1" customWidth="1"/>
    <col min="8" max="9" width="13.83203125" bestFit="1" customWidth="1"/>
    <col min="10" max="10" width="9.33203125" bestFit="1" customWidth="1"/>
    <col min="11" max="11" width="16.33203125" bestFit="1" customWidth="1"/>
    <col min="12" max="12" width="20.1640625" bestFit="1" customWidth="1"/>
    <col min="13" max="13" width="24.33203125" bestFit="1" customWidth="1"/>
    <col min="14" max="14" width="6.83203125" bestFit="1" customWidth="1"/>
    <col min="15" max="15" width="4.83203125" bestFit="1" customWidth="1"/>
    <col min="16" max="16" width="9.33203125" bestFit="1" customWidth="1"/>
    <col min="17" max="17" width="7.1640625" bestFit="1" customWidth="1"/>
    <col min="18" max="18" width="15" bestFit="1" customWidth="1"/>
    <col min="19" max="19" width="8.1640625" bestFit="1" customWidth="1"/>
    <col min="20" max="20" width="5.83203125" bestFit="1" customWidth="1"/>
    <col min="21" max="21" width="14.1640625" bestFit="1" customWidth="1"/>
    <col min="22" max="22" width="19.33203125" bestFit="1" customWidth="1"/>
    <col min="23" max="23" width="11.5" bestFit="1" customWidth="1"/>
    <col min="24" max="24" width="10.5" bestFit="1" customWidth="1"/>
    <col min="25" max="25" width="19.33203125" bestFit="1" customWidth="1"/>
    <col min="26" max="26" width="11.33203125" bestFit="1" customWidth="1"/>
    <col min="27" max="27" width="10.5" bestFit="1" customWidth="1"/>
    <col min="28" max="28" width="17" bestFit="1" customWidth="1"/>
    <col min="29" max="29" width="10.1640625" bestFit="1" customWidth="1"/>
    <col min="30" max="33" width="20.83203125" customWidth="1"/>
    <col min="34" max="34" width="8.5" bestFit="1" customWidth="1"/>
    <col min="35" max="35" width="11.1640625" bestFit="1" customWidth="1"/>
    <col min="36" max="36" width="7" bestFit="1" customWidth="1"/>
    <col min="37" max="37" width="9.1640625" bestFit="1" customWidth="1"/>
    <col min="38" max="38" width="11" bestFit="1" customWidth="1"/>
    <col min="39" max="39" width="13.6640625" bestFit="1" customWidth="1"/>
    <col min="40" max="40" width="19.33203125" bestFit="1" customWidth="1"/>
    <col min="41" max="41" width="7" bestFit="1" customWidth="1"/>
    <col min="42" max="42" width="11.5" bestFit="1" customWidth="1"/>
    <col min="43" max="43" width="16.6640625" bestFit="1" customWidth="1"/>
    <col min="44" max="44" width="19.5" bestFit="1" customWidth="1"/>
    <col min="45" max="45" width="9.83203125" bestFit="1" customWidth="1"/>
    <col min="46" max="46" width="12.5" bestFit="1" customWidth="1"/>
    <col min="47" max="47" width="7.5" bestFit="1" customWidth="1"/>
    <col min="48" max="48" width="10.1640625" bestFit="1" customWidth="1"/>
    <col min="49" max="49" width="15.83203125" bestFit="1" customWidth="1"/>
    <col min="50" max="50" width="18.6640625" bestFit="1" customWidth="1"/>
    <col min="51" max="51" width="21" bestFit="1" customWidth="1"/>
    <col min="52" max="52" width="23.83203125" bestFit="1" customWidth="1"/>
    <col min="53" max="53" width="13" bestFit="1" customWidth="1"/>
    <col min="54" max="54" width="15.6640625" bestFit="1" customWidth="1"/>
    <col min="55" max="55" width="10.5" bestFit="1" customWidth="1"/>
  </cols>
  <sheetData>
    <row r="2" spans="2:33" x14ac:dyDescent="0.2">
      <c r="B2" s="112" t="s">
        <v>1251</v>
      </c>
      <c r="C2" s="112"/>
    </row>
    <row r="4" spans="2:33" x14ac:dyDescent="0.2">
      <c r="B4" s="11" t="s">
        <v>250</v>
      </c>
      <c r="C4" t="s">
        <v>1201</v>
      </c>
      <c r="AD4" t="s">
        <v>1306</v>
      </c>
      <c r="AE4" t="s">
        <v>1307</v>
      </c>
      <c r="AF4" t="s">
        <v>1308</v>
      </c>
      <c r="AG4" t="s">
        <v>1278</v>
      </c>
    </row>
    <row r="5" spans="2:33" x14ac:dyDescent="0.2">
      <c r="B5" s="14" t="s">
        <v>262</v>
      </c>
      <c r="C5">
        <v>38</v>
      </c>
      <c r="AC5" t="s">
        <v>1305</v>
      </c>
      <c r="AD5">
        <v>75</v>
      </c>
      <c r="AE5">
        <v>1</v>
      </c>
    </row>
    <row r="6" spans="2:33" x14ac:dyDescent="0.2">
      <c r="B6" s="14" t="s">
        <v>1256</v>
      </c>
      <c r="C6">
        <v>43</v>
      </c>
      <c r="AC6" s="14" t="s">
        <v>1194</v>
      </c>
      <c r="AD6">
        <v>13</v>
      </c>
      <c r="AE6">
        <v>3</v>
      </c>
    </row>
    <row r="7" spans="2:33" x14ac:dyDescent="0.2">
      <c r="B7" s="14" t="s">
        <v>1194</v>
      </c>
      <c r="C7">
        <v>39</v>
      </c>
      <c r="AC7" s="14" t="s">
        <v>1189</v>
      </c>
      <c r="AD7">
        <v>1</v>
      </c>
      <c r="AE7">
        <v>14</v>
      </c>
    </row>
    <row r="8" spans="2:33" x14ac:dyDescent="0.2">
      <c r="B8" s="14" t="s">
        <v>1189</v>
      </c>
      <c r="C8">
        <v>18</v>
      </c>
      <c r="AC8" s="14" t="s">
        <v>1190</v>
      </c>
      <c r="AD8">
        <v>3</v>
      </c>
      <c r="AE8">
        <v>1</v>
      </c>
      <c r="AF8">
        <v>1</v>
      </c>
    </row>
    <row r="9" spans="2:33" x14ac:dyDescent="0.2">
      <c r="B9" s="14" t="s">
        <v>1190</v>
      </c>
      <c r="C9">
        <v>11</v>
      </c>
      <c r="AC9" s="14" t="s">
        <v>1192</v>
      </c>
      <c r="AD9">
        <v>2</v>
      </c>
      <c r="AE9">
        <v>2</v>
      </c>
      <c r="AF9">
        <v>1</v>
      </c>
      <c r="AG9">
        <v>4</v>
      </c>
    </row>
    <row r="10" spans="2:33" x14ac:dyDescent="0.2">
      <c r="B10" s="14" t="s">
        <v>1192</v>
      </c>
      <c r="C10">
        <v>18</v>
      </c>
      <c r="AC10" s="14" t="s">
        <v>1193</v>
      </c>
      <c r="AD10">
        <v>3</v>
      </c>
      <c r="AE10">
        <v>3</v>
      </c>
      <c r="AF10">
        <v>8</v>
      </c>
      <c r="AG10">
        <v>1</v>
      </c>
    </row>
    <row r="11" spans="2:33" x14ac:dyDescent="0.2">
      <c r="B11" s="14" t="s">
        <v>1193</v>
      </c>
      <c r="C11">
        <v>29</v>
      </c>
      <c r="AC11" s="14" t="s">
        <v>1191</v>
      </c>
      <c r="AD11">
        <v>20</v>
      </c>
      <c r="AE11">
        <v>3</v>
      </c>
      <c r="AF11">
        <v>18</v>
      </c>
      <c r="AG11">
        <v>21</v>
      </c>
    </row>
    <row r="12" spans="2:33" x14ac:dyDescent="0.2">
      <c r="B12" s="14" t="s">
        <v>1191</v>
      </c>
      <c r="C12">
        <v>79</v>
      </c>
      <c r="AC12">
        <v>1900</v>
      </c>
      <c r="AD12">
        <v>2</v>
      </c>
      <c r="AF12">
        <v>1</v>
      </c>
      <c r="AG12">
        <v>4</v>
      </c>
    </row>
    <row r="13" spans="2:33" x14ac:dyDescent="0.2">
      <c r="B13" s="14">
        <v>1900</v>
      </c>
      <c r="C13">
        <v>12</v>
      </c>
      <c r="AC13" s="14" t="s">
        <v>263</v>
      </c>
      <c r="AD13">
        <v>5</v>
      </c>
      <c r="AE13">
        <v>10</v>
      </c>
      <c r="AF13">
        <v>1</v>
      </c>
    </row>
    <row r="14" spans="2:33" x14ac:dyDescent="0.2">
      <c r="B14" s="14" t="s">
        <v>1197</v>
      </c>
      <c r="C14">
        <v>19</v>
      </c>
    </row>
    <row r="15" spans="2:33" x14ac:dyDescent="0.2">
      <c r="B15" s="14" t="s">
        <v>224</v>
      </c>
      <c r="C15">
        <v>306</v>
      </c>
    </row>
    <row r="20" spans="2:8" x14ac:dyDescent="0.2">
      <c r="B20" s="11" t="s">
        <v>256</v>
      </c>
      <c r="C20" s="11" t="s">
        <v>596</v>
      </c>
    </row>
    <row r="21" spans="2:8" x14ac:dyDescent="0.2">
      <c r="B21" s="11" t="s">
        <v>250</v>
      </c>
      <c r="C21" s="15" t="s">
        <v>0</v>
      </c>
      <c r="D21" s="15" t="s">
        <v>203</v>
      </c>
      <c r="E21" s="15" t="s">
        <v>66</v>
      </c>
      <c r="F21" s="15" t="s">
        <v>3</v>
      </c>
      <c r="G21" s="15" t="s">
        <v>247</v>
      </c>
      <c r="H21" t="s">
        <v>224</v>
      </c>
    </row>
    <row r="22" spans="2:8" x14ac:dyDescent="0.2">
      <c r="B22" s="14" t="s">
        <v>262</v>
      </c>
      <c r="C22" s="15">
        <v>33</v>
      </c>
      <c r="D22" s="15"/>
      <c r="E22" s="15"/>
      <c r="F22" s="15">
        <v>2</v>
      </c>
      <c r="G22" s="15">
        <v>3</v>
      </c>
      <c r="H22">
        <v>38</v>
      </c>
    </row>
    <row r="23" spans="2:8" x14ac:dyDescent="0.2">
      <c r="B23" s="14" t="s">
        <v>1256</v>
      </c>
      <c r="C23" s="15">
        <v>11</v>
      </c>
      <c r="D23" s="15">
        <v>4</v>
      </c>
      <c r="E23" s="15">
        <v>1</v>
      </c>
      <c r="F23" s="15">
        <v>3</v>
      </c>
      <c r="G23" s="15">
        <v>24</v>
      </c>
      <c r="H23">
        <v>43</v>
      </c>
    </row>
    <row r="24" spans="2:8" x14ac:dyDescent="0.2">
      <c r="B24" s="14" t="s">
        <v>1194</v>
      </c>
      <c r="C24" s="15"/>
      <c r="D24" s="15">
        <v>25</v>
      </c>
      <c r="E24" s="15"/>
      <c r="F24" s="15">
        <v>8</v>
      </c>
      <c r="G24" s="15">
        <v>6</v>
      </c>
      <c r="H24">
        <v>39</v>
      </c>
    </row>
    <row r="25" spans="2:8" x14ac:dyDescent="0.2">
      <c r="B25" s="14" t="s">
        <v>1189</v>
      </c>
      <c r="C25" s="15">
        <v>1</v>
      </c>
      <c r="D25" s="15">
        <v>3</v>
      </c>
      <c r="E25" s="15">
        <v>14</v>
      </c>
      <c r="F25" s="15"/>
      <c r="G25" s="15"/>
      <c r="H25">
        <v>18</v>
      </c>
    </row>
    <row r="26" spans="2:8" x14ac:dyDescent="0.2">
      <c r="B26" s="14" t="s">
        <v>1190</v>
      </c>
      <c r="C26" s="15">
        <v>3</v>
      </c>
      <c r="D26" s="15">
        <v>4</v>
      </c>
      <c r="E26" s="15">
        <v>1</v>
      </c>
      <c r="F26" s="15">
        <v>2</v>
      </c>
      <c r="G26" s="15">
        <v>1</v>
      </c>
      <c r="H26">
        <v>11</v>
      </c>
    </row>
    <row r="27" spans="2:8" x14ac:dyDescent="0.2">
      <c r="B27" s="14" t="s">
        <v>1192</v>
      </c>
      <c r="C27" s="15">
        <v>1</v>
      </c>
      <c r="D27" s="15">
        <v>8</v>
      </c>
      <c r="E27" s="15"/>
      <c r="F27" s="15">
        <v>6</v>
      </c>
      <c r="G27" s="15">
        <v>3</v>
      </c>
      <c r="H27">
        <v>18</v>
      </c>
    </row>
    <row r="28" spans="2:8" x14ac:dyDescent="0.2">
      <c r="B28" s="14" t="s">
        <v>1193</v>
      </c>
      <c r="C28" s="15"/>
      <c r="D28" s="15">
        <v>24</v>
      </c>
      <c r="E28" s="15">
        <v>2</v>
      </c>
      <c r="F28" s="15">
        <v>2</v>
      </c>
      <c r="G28" s="15">
        <v>1</v>
      </c>
      <c r="H28">
        <v>29</v>
      </c>
    </row>
    <row r="29" spans="2:8" x14ac:dyDescent="0.2">
      <c r="B29" s="14" t="s">
        <v>1191</v>
      </c>
      <c r="C29" s="15">
        <v>3</v>
      </c>
      <c r="D29" s="15">
        <v>70</v>
      </c>
      <c r="E29" s="15">
        <v>1</v>
      </c>
      <c r="F29" s="15">
        <v>4</v>
      </c>
      <c r="G29" s="15">
        <v>1</v>
      </c>
      <c r="H29">
        <v>79</v>
      </c>
    </row>
    <row r="30" spans="2:8" x14ac:dyDescent="0.2">
      <c r="B30" s="14">
        <v>1900</v>
      </c>
      <c r="C30" s="15">
        <v>1</v>
      </c>
      <c r="D30" s="15">
        <v>11</v>
      </c>
      <c r="E30" s="15"/>
      <c r="F30" s="15"/>
      <c r="G30" s="15"/>
      <c r="H30">
        <v>12</v>
      </c>
    </row>
    <row r="31" spans="2:8" x14ac:dyDescent="0.2">
      <c r="B31" s="14" t="s">
        <v>1197</v>
      </c>
      <c r="C31" s="15">
        <v>3</v>
      </c>
      <c r="D31" s="15">
        <v>6</v>
      </c>
      <c r="E31" s="15">
        <v>8</v>
      </c>
      <c r="F31" s="15"/>
      <c r="G31" s="15">
        <v>2</v>
      </c>
      <c r="H31">
        <v>19</v>
      </c>
    </row>
    <row r="32" spans="2:8" x14ac:dyDescent="0.2">
      <c r="B32" s="14" t="s">
        <v>224</v>
      </c>
      <c r="C32" s="15">
        <v>56</v>
      </c>
      <c r="D32" s="15">
        <v>155</v>
      </c>
      <c r="E32" s="15">
        <v>27</v>
      </c>
      <c r="F32" s="15">
        <v>27</v>
      </c>
      <c r="G32" s="15">
        <v>41</v>
      </c>
      <c r="H32">
        <v>306</v>
      </c>
    </row>
    <row r="35" spans="2:24" x14ac:dyDescent="0.2">
      <c r="B35" s="11" t="s">
        <v>251</v>
      </c>
      <c r="C35" s="11" t="s">
        <v>596</v>
      </c>
    </row>
    <row r="36" spans="2:24" x14ac:dyDescent="0.2">
      <c r="B36" s="11" t="s">
        <v>250</v>
      </c>
      <c r="C36" t="s">
        <v>135</v>
      </c>
      <c r="D36" t="s">
        <v>90</v>
      </c>
      <c r="E36" t="s">
        <v>76</v>
      </c>
      <c r="F36" t="s">
        <v>82</v>
      </c>
      <c r="G36" t="s">
        <v>600</v>
      </c>
      <c r="H36" t="s">
        <v>599</v>
      </c>
      <c r="I36" t="s">
        <v>205</v>
      </c>
      <c r="J36" t="s">
        <v>89</v>
      </c>
      <c r="K36" t="s">
        <v>138</v>
      </c>
      <c r="L36" t="s">
        <v>137</v>
      </c>
      <c r="M36" t="s">
        <v>100</v>
      </c>
      <c r="N36" t="s">
        <v>98</v>
      </c>
      <c r="O36" t="s">
        <v>207</v>
      </c>
      <c r="P36" t="s">
        <v>66</v>
      </c>
      <c r="Q36" t="s">
        <v>97</v>
      </c>
      <c r="R36" t="s">
        <v>37</v>
      </c>
      <c r="S36" t="s">
        <v>51</v>
      </c>
      <c r="T36" t="s">
        <v>3</v>
      </c>
      <c r="U36" t="s">
        <v>93</v>
      </c>
      <c r="V36" t="s">
        <v>99</v>
      </c>
      <c r="W36" t="s">
        <v>95</v>
      </c>
      <c r="X36" t="s">
        <v>224</v>
      </c>
    </row>
    <row r="37" spans="2:24" x14ac:dyDescent="0.2">
      <c r="B37" s="14" t="s">
        <v>262</v>
      </c>
      <c r="F37">
        <v>1</v>
      </c>
      <c r="I37">
        <v>32</v>
      </c>
      <c r="J37">
        <v>2</v>
      </c>
      <c r="L37">
        <v>1</v>
      </c>
      <c r="T37">
        <v>2</v>
      </c>
      <c r="X37">
        <v>38</v>
      </c>
    </row>
    <row r="38" spans="2:24" x14ac:dyDescent="0.2">
      <c r="B38" s="14" t="s">
        <v>1256</v>
      </c>
      <c r="C38">
        <v>1</v>
      </c>
      <c r="D38">
        <v>2</v>
      </c>
      <c r="E38">
        <v>4</v>
      </c>
      <c r="F38">
        <v>3</v>
      </c>
      <c r="G38">
        <v>2</v>
      </c>
      <c r="H38">
        <v>1</v>
      </c>
      <c r="I38">
        <v>2</v>
      </c>
      <c r="J38">
        <v>4</v>
      </c>
      <c r="L38">
        <v>3</v>
      </c>
      <c r="M38">
        <v>1</v>
      </c>
      <c r="N38">
        <v>1</v>
      </c>
      <c r="P38">
        <v>1</v>
      </c>
      <c r="Q38">
        <v>5</v>
      </c>
      <c r="S38">
        <v>1</v>
      </c>
      <c r="T38">
        <v>3</v>
      </c>
      <c r="V38">
        <v>8</v>
      </c>
      <c r="W38">
        <v>1</v>
      </c>
      <c r="X38">
        <v>43</v>
      </c>
    </row>
    <row r="39" spans="2:24" x14ac:dyDescent="0.2">
      <c r="B39" s="14" t="s">
        <v>1194</v>
      </c>
      <c r="D39">
        <v>25</v>
      </c>
      <c r="J39">
        <v>1</v>
      </c>
      <c r="K39">
        <v>4</v>
      </c>
      <c r="T39">
        <v>8</v>
      </c>
      <c r="U39">
        <v>1</v>
      </c>
      <c r="X39">
        <v>39</v>
      </c>
    </row>
    <row r="40" spans="2:24" x14ac:dyDescent="0.2">
      <c r="B40" s="14" t="s">
        <v>1189</v>
      </c>
      <c r="D40">
        <v>2</v>
      </c>
      <c r="I40">
        <v>1</v>
      </c>
      <c r="P40">
        <v>14</v>
      </c>
      <c r="S40">
        <v>1</v>
      </c>
      <c r="X40">
        <v>18</v>
      </c>
    </row>
    <row r="41" spans="2:24" x14ac:dyDescent="0.2">
      <c r="B41" s="14" t="s">
        <v>1190</v>
      </c>
      <c r="D41">
        <v>2</v>
      </c>
      <c r="E41">
        <v>3</v>
      </c>
      <c r="K41">
        <v>1</v>
      </c>
      <c r="P41">
        <v>1</v>
      </c>
      <c r="S41">
        <v>2</v>
      </c>
      <c r="T41">
        <v>2</v>
      </c>
      <c r="X41">
        <v>11</v>
      </c>
    </row>
    <row r="42" spans="2:24" x14ac:dyDescent="0.2">
      <c r="B42" s="14" t="s">
        <v>1192</v>
      </c>
      <c r="C42">
        <v>6</v>
      </c>
      <c r="D42">
        <v>1</v>
      </c>
      <c r="F42">
        <v>1</v>
      </c>
      <c r="J42">
        <v>3</v>
      </c>
      <c r="S42">
        <v>1</v>
      </c>
      <c r="T42">
        <v>6</v>
      </c>
      <c r="X42">
        <v>18</v>
      </c>
    </row>
    <row r="43" spans="2:24" x14ac:dyDescent="0.2">
      <c r="B43" s="14" t="s">
        <v>1193</v>
      </c>
      <c r="C43">
        <v>7</v>
      </c>
      <c r="J43">
        <v>1</v>
      </c>
      <c r="P43">
        <v>2</v>
      </c>
      <c r="R43">
        <v>9</v>
      </c>
      <c r="S43">
        <v>8</v>
      </c>
      <c r="T43">
        <v>2</v>
      </c>
      <c r="X43">
        <v>29</v>
      </c>
    </row>
    <row r="44" spans="2:24" x14ac:dyDescent="0.2">
      <c r="B44" s="14" t="s">
        <v>1191</v>
      </c>
      <c r="C44">
        <v>27</v>
      </c>
      <c r="D44">
        <v>15</v>
      </c>
      <c r="E44">
        <v>1</v>
      </c>
      <c r="F44">
        <v>1</v>
      </c>
      <c r="J44">
        <v>1</v>
      </c>
      <c r="O44">
        <v>1</v>
      </c>
      <c r="P44">
        <v>1</v>
      </c>
      <c r="R44">
        <v>7</v>
      </c>
      <c r="S44">
        <v>21</v>
      </c>
      <c r="T44">
        <v>4</v>
      </c>
      <c r="X44">
        <v>79</v>
      </c>
    </row>
    <row r="45" spans="2:24" x14ac:dyDescent="0.2">
      <c r="B45" s="14">
        <v>1900</v>
      </c>
      <c r="C45">
        <v>5</v>
      </c>
      <c r="F45">
        <v>1</v>
      </c>
      <c r="R45">
        <v>5</v>
      </c>
      <c r="S45">
        <v>1</v>
      </c>
      <c r="X45">
        <v>12</v>
      </c>
    </row>
    <row r="46" spans="2:24" x14ac:dyDescent="0.2">
      <c r="B46" s="14" t="s">
        <v>1197</v>
      </c>
      <c r="D46">
        <v>4</v>
      </c>
      <c r="E46">
        <v>2</v>
      </c>
      <c r="I46">
        <v>1</v>
      </c>
      <c r="M46">
        <v>1</v>
      </c>
      <c r="O46">
        <v>1</v>
      </c>
      <c r="P46">
        <v>8</v>
      </c>
      <c r="R46">
        <v>1</v>
      </c>
      <c r="S46">
        <v>1</v>
      </c>
      <c r="X46">
        <v>19</v>
      </c>
    </row>
    <row r="47" spans="2:24" x14ac:dyDescent="0.2">
      <c r="B47" s="14" t="s">
        <v>224</v>
      </c>
      <c r="C47">
        <v>46</v>
      </c>
      <c r="D47">
        <v>51</v>
      </c>
      <c r="E47">
        <v>10</v>
      </c>
      <c r="F47">
        <v>7</v>
      </c>
      <c r="G47">
        <v>2</v>
      </c>
      <c r="H47">
        <v>1</v>
      </c>
      <c r="I47">
        <v>36</v>
      </c>
      <c r="J47">
        <v>12</v>
      </c>
      <c r="K47">
        <v>5</v>
      </c>
      <c r="L47">
        <v>4</v>
      </c>
      <c r="M47">
        <v>2</v>
      </c>
      <c r="N47">
        <v>1</v>
      </c>
      <c r="O47">
        <v>2</v>
      </c>
      <c r="P47">
        <v>27</v>
      </c>
      <c r="Q47">
        <v>5</v>
      </c>
      <c r="R47">
        <v>22</v>
      </c>
      <c r="S47">
        <v>36</v>
      </c>
      <c r="T47">
        <v>27</v>
      </c>
      <c r="U47">
        <v>1</v>
      </c>
      <c r="V47">
        <v>8</v>
      </c>
      <c r="W47">
        <v>1</v>
      </c>
      <c r="X47">
        <v>306</v>
      </c>
    </row>
    <row r="48" spans="2:24" x14ac:dyDescent="0.2">
      <c r="B48" s="14"/>
    </row>
    <row r="50" spans="2:7" ht="34" x14ac:dyDescent="0.2">
      <c r="B50" s="82" t="s">
        <v>1257</v>
      </c>
      <c r="C50" s="85" t="s">
        <v>1302</v>
      </c>
      <c r="D50" s="85" t="s">
        <v>90</v>
      </c>
      <c r="E50" s="96" t="s">
        <v>37</v>
      </c>
      <c r="F50" s="85" t="s">
        <v>51</v>
      </c>
      <c r="G50" s="84" t="s">
        <v>257</v>
      </c>
    </row>
    <row r="51" spans="2:7" x14ac:dyDescent="0.2">
      <c r="B51" s="39" t="s">
        <v>262</v>
      </c>
      <c r="C51" s="81">
        <v>0</v>
      </c>
      <c r="D51" s="81">
        <v>0</v>
      </c>
      <c r="E51" s="81">
        <v>0</v>
      </c>
      <c r="F51" s="81">
        <v>0</v>
      </c>
      <c r="G51" s="49">
        <f>SUM(Table1[[#This Row],[Aboriginal Community]:[Pastoral]])</f>
        <v>0</v>
      </c>
    </row>
    <row r="52" spans="2:7" x14ac:dyDescent="0.2">
      <c r="B52" s="39" t="s">
        <v>1256</v>
      </c>
      <c r="C52" s="81">
        <v>1</v>
      </c>
      <c r="D52" s="81">
        <v>2</v>
      </c>
      <c r="E52" s="81">
        <v>0</v>
      </c>
      <c r="F52" s="81">
        <v>1</v>
      </c>
      <c r="G52" s="49">
        <f>SUM(Table1[[#This Row],[Aboriginal Community]:[Pastoral]])</f>
        <v>4</v>
      </c>
    </row>
    <row r="53" spans="2:7" x14ac:dyDescent="0.2">
      <c r="B53" s="39" t="s">
        <v>1194</v>
      </c>
      <c r="C53" s="81">
        <v>0</v>
      </c>
      <c r="D53" s="81">
        <v>25</v>
      </c>
      <c r="E53" s="81">
        <v>0</v>
      </c>
      <c r="F53" s="81">
        <v>0</v>
      </c>
      <c r="G53" s="49">
        <f>SUM(Table1[[#This Row],[Aboriginal Community]:[Pastoral]])</f>
        <v>25</v>
      </c>
    </row>
    <row r="54" spans="2:7" x14ac:dyDescent="0.2">
      <c r="B54" s="39" t="s">
        <v>1189</v>
      </c>
      <c r="C54" s="81">
        <v>0</v>
      </c>
      <c r="D54" s="81">
        <v>2</v>
      </c>
      <c r="E54" s="81">
        <v>0</v>
      </c>
      <c r="F54" s="81">
        <v>1</v>
      </c>
      <c r="G54" s="49">
        <f>SUM(Table1[[#This Row],[Aboriginal Community]:[Pastoral]])</f>
        <v>3</v>
      </c>
    </row>
    <row r="55" spans="2:7" x14ac:dyDescent="0.2">
      <c r="B55" s="39" t="s">
        <v>1190</v>
      </c>
      <c r="C55" s="81">
        <v>0</v>
      </c>
      <c r="D55" s="81">
        <v>2</v>
      </c>
      <c r="E55" s="81">
        <v>0</v>
      </c>
      <c r="F55" s="81">
        <v>2</v>
      </c>
      <c r="G55" s="49">
        <f>SUM(Table1[[#This Row],[Aboriginal Community]:[Pastoral]])</f>
        <v>4</v>
      </c>
    </row>
    <row r="56" spans="2:7" x14ac:dyDescent="0.2">
      <c r="B56" s="39" t="s">
        <v>1192</v>
      </c>
      <c r="C56" s="81">
        <v>6</v>
      </c>
      <c r="D56" s="81">
        <v>1</v>
      </c>
      <c r="E56" s="81">
        <v>0</v>
      </c>
      <c r="F56" s="81">
        <v>1</v>
      </c>
      <c r="G56" s="49">
        <f>SUM(Table1[[#This Row],[Aboriginal Community]:[Pastoral]])</f>
        <v>8</v>
      </c>
    </row>
    <row r="57" spans="2:7" x14ac:dyDescent="0.2">
      <c r="B57" s="39" t="s">
        <v>1193</v>
      </c>
      <c r="C57" s="81">
        <v>7</v>
      </c>
      <c r="D57" s="81">
        <v>0</v>
      </c>
      <c r="E57" s="81">
        <v>9</v>
      </c>
      <c r="F57" s="81">
        <v>8</v>
      </c>
      <c r="G57" s="49">
        <f>SUM(Table1[[#This Row],[Aboriginal Community]:[Pastoral]])</f>
        <v>24</v>
      </c>
    </row>
    <row r="58" spans="2:7" x14ac:dyDescent="0.2">
      <c r="B58" s="39" t="s">
        <v>1191</v>
      </c>
      <c r="C58" s="81">
        <v>27</v>
      </c>
      <c r="D58" s="81">
        <v>15</v>
      </c>
      <c r="E58" s="81">
        <v>7</v>
      </c>
      <c r="F58" s="81">
        <v>21</v>
      </c>
      <c r="G58" s="49">
        <f>SUM(Table1[[#This Row],[Aboriginal Community]:[Pastoral]])</f>
        <v>70</v>
      </c>
    </row>
    <row r="59" spans="2:7" x14ac:dyDescent="0.2">
      <c r="B59" s="39">
        <v>1900</v>
      </c>
      <c r="C59" s="81">
        <v>5</v>
      </c>
      <c r="D59" s="81">
        <v>0</v>
      </c>
      <c r="E59" s="81">
        <v>5</v>
      </c>
      <c r="F59" s="81">
        <v>1</v>
      </c>
      <c r="G59" s="49">
        <f>SUM(Table1[[#This Row],[Aboriginal Community]:[Pastoral]])</f>
        <v>11</v>
      </c>
    </row>
    <row r="60" spans="2:7" x14ac:dyDescent="0.2">
      <c r="B60" s="39" t="s">
        <v>1197</v>
      </c>
      <c r="C60" s="81">
        <v>0</v>
      </c>
      <c r="D60" s="81">
        <v>4</v>
      </c>
      <c r="E60" s="81">
        <v>1</v>
      </c>
      <c r="F60" s="81">
        <v>1</v>
      </c>
      <c r="G60" s="49">
        <f>SUM(Table1[[#This Row],[Aboriginal Community]:[Pastoral]])</f>
        <v>6</v>
      </c>
    </row>
    <row r="61" spans="2:7" x14ac:dyDescent="0.2">
      <c r="B61" s="82" t="s">
        <v>224</v>
      </c>
      <c r="C61" s="86">
        <f>SUBTOTAL(109,C51:C60)</f>
        <v>46</v>
      </c>
      <c r="D61" s="86">
        <f>SUBTOTAL(109,D51:D60)</f>
        <v>51</v>
      </c>
      <c r="E61" s="87">
        <f>SUBTOTAL(109,E51:E60)</f>
        <v>22</v>
      </c>
      <c r="F61" s="87">
        <f>SUBTOTAL(109,F51:F60)</f>
        <v>36</v>
      </c>
      <c r="G61" s="83">
        <f>SUM(Table1[[#This Row],[Aboriginal Community]:[Pastoral]])</f>
        <v>155</v>
      </c>
    </row>
    <row r="80" spans="2:3" x14ac:dyDescent="0.2">
      <c r="B80" s="11" t="s">
        <v>256</v>
      </c>
      <c r="C80" s="11" t="s">
        <v>596</v>
      </c>
    </row>
    <row r="81" spans="2:14" x14ac:dyDescent="0.2">
      <c r="B81" s="11" t="s">
        <v>250</v>
      </c>
      <c r="C81" s="15" t="s">
        <v>1140</v>
      </c>
      <c r="D81" s="15" t="s">
        <v>1138</v>
      </c>
      <c r="E81" s="15" t="s">
        <v>1146</v>
      </c>
      <c r="F81" s="15" t="s">
        <v>1132</v>
      </c>
      <c r="G81" s="15" t="s">
        <v>1135</v>
      </c>
      <c r="H81" s="15" t="s">
        <v>1150</v>
      </c>
      <c r="I81" s="15" t="s">
        <v>1142</v>
      </c>
      <c r="J81" s="15" t="s">
        <v>1151</v>
      </c>
      <c r="K81" s="15" t="s">
        <v>1139</v>
      </c>
      <c r="L81" s="15" t="s">
        <v>1134</v>
      </c>
      <c r="M81" s="15" t="s">
        <v>1131</v>
      </c>
      <c r="N81" t="s">
        <v>224</v>
      </c>
    </row>
    <row r="82" spans="2:14" x14ac:dyDescent="0.2">
      <c r="B82" s="14" t="s">
        <v>262</v>
      </c>
      <c r="C82" s="15"/>
      <c r="D82" s="15"/>
      <c r="E82" s="15"/>
      <c r="F82" s="15"/>
      <c r="G82" s="15">
        <v>1</v>
      </c>
      <c r="H82" s="15"/>
      <c r="I82" s="15"/>
      <c r="J82" s="15">
        <v>37</v>
      </c>
      <c r="K82" s="15"/>
      <c r="L82" s="15"/>
      <c r="M82" s="15"/>
      <c r="N82">
        <v>38</v>
      </c>
    </row>
    <row r="83" spans="2:14" x14ac:dyDescent="0.2">
      <c r="B83" s="14" t="s">
        <v>1256</v>
      </c>
      <c r="C83" s="15"/>
      <c r="D83" s="15"/>
      <c r="E83" s="15"/>
      <c r="F83" s="15"/>
      <c r="G83" s="15">
        <v>2</v>
      </c>
      <c r="H83" s="15"/>
      <c r="I83" s="15"/>
      <c r="J83" s="15">
        <v>38</v>
      </c>
      <c r="K83" s="15">
        <v>2</v>
      </c>
      <c r="L83" s="15"/>
      <c r="M83" s="15">
        <v>1</v>
      </c>
      <c r="N83">
        <v>43</v>
      </c>
    </row>
    <row r="84" spans="2:14" x14ac:dyDescent="0.2">
      <c r="B84" s="14" t="s">
        <v>1194</v>
      </c>
      <c r="C84" s="15">
        <v>3</v>
      </c>
      <c r="D84" s="15">
        <v>2</v>
      </c>
      <c r="E84" s="15"/>
      <c r="F84" s="15"/>
      <c r="G84" s="15">
        <v>1</v>
      </c>
      <c r="H84" s="15"/>
      <c r="I84" s="15">
        <v>11</v>
      </c>
      <c r="J84" s="15">
        <v>13</v>
      </c>
      <c r="K84" s="15">
        <v>6</v>
      </c>
      <c r="L84" s="15"/>
      <c r="M84" s="15">
        <v>3</v>
      </c>
      <c r="N84">
        <v>39</v>
      </c>
    </row>
    <row r="85" spans="2:14" x14ac:dyDescent="0.2">
      <c r="B85" s="14" t="s">
        <v>1189</v>
      </c>
      <c r="C85" s="15">
        <v>3</v>
      </c>
      <c r="D85" s="15"/>
      <c r="E85" s="15"/>
      <c r="F85" s="15"/>
      <c r="G85" s="15"/>
      <c r="H85" s="15"/>
      <c r="I85" s="15"/>
      <c r="J85" s="15">
        <v>1</v>
      </c>
      <c r="K85" s="15"/>
      <c r="L85" s="15"/>
      <c r="M85" s="15">
        <v>14</v>
      </c>
      <c r="N85">
        <v>18</v>
      </c>
    </row>
    <row r="86" spans="2:14" x14ac:dyDescent="0.2">
      <c r="B86" s="14" t="s">
        <v>1190</v>
      </c>
      <c r="C86" s="15">
        <v>1</v>
      </c>
      <c r="D86" s="15">
        <v>3</v>
      </c>
      <c r="E86" s="15"/>
      <c r="F86" s="15"/>
      <c r="G86" s="15">
        <v>2</v>
      </c>
      <c r="H86" s="15"/>
      <c r="I86" s="15"/>
      <c r="J86" s="15">
        <v>3</v>
      </c>
      <c r="K86" s="15"/>
      <c r="L86" s="15">
        <v>1</v>
      </c>
      <c r="M86" s="15">
        <v>1</v>
      </c>
      <c r="N86">
        <v>11</v>
      </c>
    </row>
    <row r="87" spans="2:14" x14ac:dyDescent="0.2">
      <c r="B87" s="14" t="s">
        <v>1192</v>
      </c>
      <c r="C87" s="15"/>
      <c r="D87" s="15">
        <v>3</v>
      </c>
      <c r="E87" s="15">
        <v>4</v>
      </c>
      <c r="F87" s="15">
        <v>1</v>
      </c>
      <c r="G87" s="15"/>
      <c r="H87" s="15">
        <v>1</v>
      </c>
      <c r="I87" s="15">
        <v>1</v>
      </c>
      <c r="J87" s="15">
        <v>2</v>
      </c>
      <c r="K87" s="15">
        <v>3</v>
      </c>
      <c r="L87" s="15">
        <v>1</v>
      </c>
      <c r="M87" s="15">
        <v>2</v>
      </c>
      <c r="N87">
        <v>18</v>
      </c>
    </row>
    <row r="88" spans="2:14" x14ac:dyDescent="0.2">
      <c r="B88" s="14" t="s">
        <v>1193</v>
      </c>
      <c r="C88" s="15">
        <v>2</v>
      </c>
      <c r="D88" s="15"/>
      <c r="E88" s="15">
        <v>1</v>
      </c>
      <c r="F88" s="15">
        <v>5</v>
      </c>
      <c r="G88" s="15">
        <v>4</v>
      </c>
      <c r="H88" s="15"/>
      <c r="I88" s="15">
        <v>1</v>
      </c>
      <c r="J88" s="15">
        <v>3</v>
      </c>
      <c r="K88" s="15">
        <v>2</v>
      </c>
      <c r="L88" s="15">
        <v>8</v>
      </c>
      <c r="M88" s="15">
        <v>3</v>
      </c>
      <c r="N88">
        <v>29</v>
      </c>
    </row>
    <row r="89" spans="2:14" x14ac:dyDescent="0.2">
      <c r="B89" s="14" t="s">
        <v>1191</v>
      </c>
      <c r="C89" s="15"/>
      <c r="D89" s="15">
        <v>1</v>
      </c>
      <c r="E89" s="15">
        <v>21</v>
      </c>
      <c r="F89" s="15">
        <v>2</v>
      </c>
      <c r="G89" s="15">
        <v>13</v>
      </c>
      <c r="H89" s="15"/>
      <c r="I89" s="15"/>
      <c r="J89" s="15">
        <v>20</v>
      </c>
      <c r="K89" s="15">
        <v>1</v>
      </c>
      <c r="L89" s="15">
        <v>18</v>
      </c>
      <c r="M89" s="15">
        <v>3</v>
      </c>
      <c r="N89">
        <v>79</v>
      </c>
    </row>
    <row r="90" spans="2:14" x14ac:dyDescent="0.2">
      <c r="B90" s="14">
        <v>1900</v>
      </c>
      <c r="C90" s="15"/>
      <c r="D90" s="15"/>
      <c r="E90" s="15">
        <v>4</v>
      </c>
      <c r="F90" s="15">
        <v>4</v>
      </c>
      <c r="G90" s="15">
        <v>1</v>
      </c>
      <c r="H90" s="15"/>
      <c r="I90" s="15"/>
      <c r="J90" s="15">
        <v>2</v>
      </c>
      <c r="K90" s="15"/>
      <c r="L90" s="15">
        <v>1</v>
      </c>
      <c r="M90" s="15"/>
      <c r="N90">
        <v>12</v>
      </c>
    </row>
    <row r="91" spans="2:14" x14ac:dyDescent="0.2">
      <c r="B91" s="14" t="s">
        <v>1197</v>
      </c>
      <c r="C91" s="15"/>
      <c r="D91" s="15">
        <v>1</v>
      </c>
      <c r="E91" s="15"/>
      <c r="F91" s="15">
        <v>1</v>
      </c>
      <c r="G91" s="15"/>
      <c r="H91" s="15"/>
      <c r="I91" s="15"/>
      <c r="J91" s="15">
        <v>5</v>
      </c>
      <c r="K91" s="15">
        <v>1</v>
      </c>
      <c r="L91" s="15">
        <v>1</v>
      </c>
      <c r="M91" s="15">
        <v>10</v>
      </c>
      <c r="N91">
        <v>19</v>
      </c>
    </row>
    <row r="92" spans="2:14" x14ac:dyDescent="0.2">
      <c r="B92" s="14" t="s">
        <v>224</v>
      </c>
      <c r="C92" s="15">
        <v>9</v>
      </c>
      <c r="D92" s="15">
        <v>10</v>
      </c>
      <c r="E92" s="15">
        <v>30</v>
      </c>
      <c r="F92" s="15">
        <v>13</v>
      </c>
      <c r="G92" s="15">
        <v>24</v>
      </c>
      <c r="H92" s="15">
        <v>1</v>
      </c>
      <c r="I92" s="15">
        <v>13</v>
      </c>
      <c r="J92" s="15">
        <v>124</v>
      </c>
      <c r="K92" s="15">
        <v>15</v>
      </c>
      <c r="L92" s="15">
        <v>30</v>
      </c>
      <c r="M92" s="15">
        <v>37</v>
      </c>
      <c r="N92">
        <v>306</v>
      </c>
    </row>
  </sheetData>
  <mergeCells count="1">
    <mergeCell ref="B2:C2"/>
  </mergeCells>
  <pageMargins left="0.7" right="0.7" top="0.75" bottom="0.75" header="0.3" footer="0.3"/>
  <pageSetup paperSize="9" orientation="portrait" horizontalDpi="0" verticalDpi="0"/>
  <drawing r:id="rId5"/>
  <tableParts count="1">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719A2-2937-BB48-ACC4-6F132781E638}">
  <dimension ref="B2:X97"/>
  <sheetViews>
    <sheetView zoomScaleNormal="100" workbookViewId="0">
      <selection activeCell="S11" sqref="S11"/>
    </sheetView>
  </sheetViews>
  <sheetFormatPr baseColWidth="10" defaultRowHeight="16" x14ac:dyDescent="0.2"/>
  <cols>
    <col min="1" max="1" width="3.33203125" customWidth="1"/>
    <col min="2" max="2" width="19.33203125" bestFit="1" customWidth="1"/>
    <col min="3" max="3" width="16" bestFit="1" customWidth="1"/>
    <col min="4" max="9" width="9.83203125" bestFit="1" customWidth="1"/>
    <col min="10" max="10" width="10.6640625" bestFit="1" customWidth="1"/>
    <col min="11" max="11" width="17.83203125" bestFit="1" customWidth="1"/>
    <col min="12" max="12" width="16.5" bestFit="1" customWidth="1"/>
    <col min="13" max="14" width="10.5" bestFit="1" customWidth="1"/>
    <col min="15" max="15" width="57.83203125" customWidth="1"/>
    <col min="16" max="19" width="19.33203125" bestFit="1" customWidth="1"/>
    <col min="20" max="20" width="60.83203125" customWidth="1"/>
    <col min="21" max="21" width="19.33203125" bestFit="1" customWidth="1"/>
    <col min="22" max="22" width="9.83203125" customWidth="1"/>
    <col min="23" max="23" width="53.5" bestFit="1" customWidth="1"/>
    <col min="24" max="24" width="19.33203125" bestFit="1" customWidth="1"/>
    <col min="25" max="26" width="23.83203125" bestFit="1" customWidth="1"/>
    <col min="27" max="27" width="16" bestFit="1" customWidth="1"/>
    <col min="28" max="28" width="17" bestFit="1" customWidth="1"/>
    <col min="29" max="29" width="16.6640625" bestFit="1" customWidth="1"/>
  </cols>
  <sheetData>
    <row r="2" spans="2:24" x14ac:dyDescent="0.2">
      <c r="B2" s="58" t="s">
        <v>1202</v>
      </c>
      <c r="E2" s="58" t="s">
        <v>1203</v>
      </c>
      <c r="O2" s="58" t="s">
        <v>1249</v>
      </c>
    </row>
    <row r="4" spans="2:24" ht="51" x14ac:dyDescent="0.2">
      <c r="B4" s="11" t="s">
        <v>250</v>
      </c>
      <c r="C4" s="42" t="s">
        <v>1200</v>
      </c>
      <c r="D4" s="42"/>
      <c r="E4" s="62" t="s">
        <v>256</v>
      </c>
      <c r="F4" s="11" t="s">
        <v>596</v>
      </c>
      <c r="O4" s="11" t="s">
        <v>250</v>
      </c>
      <c r="P4" s="42" t="s">
        <v>1248</v>
      </c>
    </row>
    <row r="5" spans="2:24" x14ac:dyDescent="0.2">
      <c r="B5" s="14" t="s">
        <v>1140</v>
      </c>
      <c r="C5">
        <v>9</v>
      </c>
      <c r="E5" s="11" t="s">
        <v>250</v>
      </c>
      <c r="F5" s="15" t="s">
        <v>0</v>
      </c>
      <c r="G5" s="15" t="s">
        <v>203</v>
      </c>
      <c r="H5" s="15" t="s">
        <v>66</v>
      </c>
      <c r="I5" s="15" t="s">
        <v>3</v>
      </c>
      <c r="J5" s="15" t="s">
        <v>247</v>
      </c>
      <c r="K5" t="s">
        <v>224</v>
      </c>
      <c r="O5" s="14" t="s">
        <v>1287</v>
      </c>
      <c r="P5" s="12">
        <v>2.9411764705882353E-2</v>
      </c>
      <c r="W5" s="14" t="s">
        <v>1287</v>
      </c>
      <c r="X5">
        <v>9</v>
      </c>
    </row>
    <row r="6" spans="2:24" x14ac:dyDescent="0.2">
      <c r="B6" s="14" t="s">
        <v>1138</v>
      </c>
      <c r="C6">
        <v>10</v>
      </c>
      <c r="E6" s="14" t="s">
        <v>1140</v>
      </c>
      <c r="F6" s="15"/>
      <c r="G6" s="15">
        <v>8</v>
      </c>
      <c r="H6" s="15">
        <v>1</v>
      </c>
      <c r="I6" s="15"/>
      <c r="J6" s="15"/>
      <c r="K6" s="13">
        <v>9</v>
      </c>
      <c r="O6" s="14" t="s">
        <v>1288</v>
      </c>
      <c r="P6" s="12">
        <v>3.2679738562091505E-2</v>
      </c>
      <c r="W6" s="14" t="s">
        <v>1288</v>
      </c>
      <c r="X6">
        <v>10</v>
      </c>
    </row>
    <row r="7" spans="2:24" x14ac:dyDescent="0.2">
      <c r="B7" s="14" t="s">
        <v>1146</v>
      </c>
      <c r="C7">
        <v>30</v>
      </c>
      <c r="E7" s="14" t="s">
        <v>1138</v>
      </c>
      <c r="F7" s="15">
        <v>1</v>
      </c>
      <c r="G7" s="15">
        <v>4</v>
      </c>
      <c r="H7" s="15"/>
      <c r="I7" s="15">
        <v>4</v>
      </c>
      <c r="J7" s="15">
        <v>1</v>
      </c>
      <c r="K7" s="13">
        <v>10</v>
      </c>
      <c r="O7" s="14" t="s">
        <v>1289</v>
      </c>
      <c r="P7" s="12">
        <v>9.8039215686274508E-2</v>
      </c>
      <c r="W7" s="14" t="s">
        <v>1289</v>
      </c>
      <c r="X7">
        <v>30</v>
      </c>
    </row>
    <row r="8" spans="2:24" x14ac:dyDescent="0.2">
      <c r="B8" s="14" t="s">
        <v>1132</v>
      </c>
      <c r="C8">
        <v>13</v>
      </c>
      <c r="E8" s="14" t="s">
        <v>1146</v>
      </c>
      <c r="F8" s="15"/>
      <c r="G8" s="15">
        <v>30</v>
      </c>
      <c r="H8" s="15"/>
      <c r="I8" s="15"/>
      <c r="J8" s="15"/>
      <c r="K8" s="13">
        <v>30</v>
      </c>
      <c r="O8" s="14" t="s">
        <v>1290</v>
      </c>
      <c r="P8" s="12">
        <v>4.2483660130718956E-2</v>
      </c>
      <c r="W8" s="14" t="s">
        <v>1290</v>
      </c>
      <c r="X8">
        <v>13</v>
      </c>
    </row>
    <row r="9" spans="2:24" ht="16" customHeight="1" x14ac:dyDescent="0.2">
      <c r="B9" s="14" t="s">
        <v>1135</v>
      </c>
      <c r="C9">
        <v>24</v>
      </c>
      <c r="E9" s="14" t="s">
        <v>1132</v>
      </c>
      <c r="F9" s="15"/>
      <c r="G9" s="15">
        <v>13</v>
      </c>
      <c r="H9" s="15"/>
      <c r="I9" s="15"/>
      <c r="J9" s="15"/>
      <c r="K9" s="13">
        <v>13</v>
      </c>
      <c r="O9" s="14" t="s">
        <v>1291</v>
      </c>
      <c r="P9" s="12">
        <v>7.8431372549019607E-2</v>
      </c>
      <c r="W9" s="14" t="s">
        <v>1291</v>
      </c>
      <c r="X9">
        <v>24</v>
      </c>
    </row>
    <row r="10" spans="2:24" x14ac:dyDescent="0.2">
      <c r="B10" s="14" t="s">
        <v>1150</v>
      </c>
      <c r="C10">
        <v>1</v>
      </c>
      <c r="E10" s="14" t="s">
        <v>1135</v>
      </c>
      <c r="F10" s="15"/>
      <c r="G10" s="15">
        <v>15</v>
      </c>
      <c r="H10" s="15"/>
      <c r="I10" s="15">
        <v>9</v>
      </c>
      <c r="J10" s="15"/>
      <c r="K10" s="13">
        <v>24</v>
      </c>
      <c r="O10" s="14" t="s">
        <v>1292</v>
      </c>
      <c r="P10" s="12">
        <v>3.2679738562091504E-3</v>
      </c>
      <c r="W10" s="14" t="s">
        <v>1292</v>
      </c>
      <c r="X10">
        <v>1</v>
      </c>
    </row>
    <row r="11" spans="2:24" x14ac:dyDescent="0.2">
      <c r="B11" s="14" t="s">
        <v>1142</v>
      </c>
      <c r="C11">
        <v>13</v>
      </c>
      <c r="E11" s="14" t="s">
        <v>1150</v>
      </c>
      <c r="F11" s="15"/>
      <c r="G11" s="15"/>
      <c r="H11" s="15"/>
      <c r="I11" s="15">
        <v>1</v>
      </c>
      <c r="J11" s="15"/>
      <c r="K11" s="13">
        <v>1</v>
      </c>
      <c r="O11" s="14" t="s">
        <v>1293</v>
      </c>
      <c r="P11" s="12">
        <v>4.2483660130718956E-2</v>
      </c>
      <c r="W11" s="14" t="s">
        <v>1293</v>
      </c>
      <c r="X11">
        <v>13</v>
      </c>
    </row>
    <row r="12" spans="2:24" ht="17" customHeight="1" x14ac:dyDescent="0.2">
      <c r="B12" s="14" t="s">
        <v>1151</v>
      </c>
      <c r="C12">
        <v>124</v>
      </c>
      <c r="E12" s="14" t="s">
        <v>1142</v>
      </c>
      <c r="F12" s="15"/>
      <c r="G12" s="15">
        <v>7</v>
      </c>
      <c r="H12" s="15"/>
      <c r="I12" s="15">
        <v>6</v>
      </c>
      <c r="J12" s="15"/>
      <c r="K12" s="13">
        <v>13</v>
      </c>
      <c r="O12" s="14" t="s">
        <v>1294</v>
      </c>
      <c r="P12" s="12">
        <v>0.40522875816993464</v>
      </c>
      <c r="W12" s="14" t="s">
        <v>1294</v>
      </c>
      <c r="X12">
        <v>124</v>
      </c>
    </row>
    <row r="13" spans="2:24" ht="17" customHeight="1" x14ac:dyDescent="0.2">
      <c r="B13" s="14" t="s">
        <v>1139</v>
      </c>
      <c r="C13">
        <v>15</v>
      </c>
      <c r="E13" s="14" t="s">
        <v>1151</v>
      </c>
      <c r="F13" s="15">
        <v>55</v>
      </c>
      <c r="G13" s="15">
        <v>34</v>
      </c>
      <c r="H13" s="15"/>
      <c r="I13" s="15">
        <v>5</v>
      </c>
      <c r="J13" s="15">
        <v>30</v>
      </c>
      <c r="K13" s="13">
        <v>124</v>
      </c>
      <c r="O13" s="14" t="s">
        <v>1295</v>
      </c>
      <c r="P13" s="12">
        <v>4.9019607843137254E-2</v>
      </c>
      <c r="W13" s="14" t="s">
        <v>1295</v>
      </c>
      <c r="X13">
        <v>15</v>
      </c>
    </row>
    <row r="14" spans="2:24" x14ac:dyDescent="0.2">
      <c r="B14" s="14" t="s">
        <v>1134</v>
      </c>
      <c r="C14">
        <v>30</v>
      </c>
      <c r="E14" s="14" t="s">
        <v>1139</v>
      </c>
      <c r="F14" s="15"/>
      <c r="G14" s="15">
        <v>4</v>
      </c>
      <c r="H14" s="15"/>
      <c r="I14" s="15">
        <v>1</v>
      </c>
      <c r="J14" s="15">
        <v>10</v>
      </c>
      <c r="K14" s="13">
        <v>15</v>
      </c>
      <c r="O14" s="14" t="s">
        <v>1296</v>
      </c>
      <c r="P14" s="12">
        <v>9.8039215686274508E-2</v>
      </c>
      <c r="W14" s="14" t="s">
        <v>1296</v>
      </c>
      <c r="X14">
        <v>30</v>
      </c>
    </row>
    <row r="15" spans="2:24" ht="16" customHeight="1" x14ac:dyDescent="0.2">
      <c r="B15" s="14" t="s">
        <v>1131</v>
      </c>
      <c r="C15">
        <v>37</v>
      </c>
      <c r="E15" s="14" t="s">
        <v>1134</v>
      </c>
      <c r="F15" s="15"/>
      <c r="G15" s="15">
        <v>30</v>
      </c>
      <c r="H15" s="15"/>
      <c r="I15" s="15"/>
      <c r="J15" s="15"/>
      <c r="K15" s="13">
        <v>30</v>
      </c>
      <c r="O15" s="14" t="s">
        <v>1297</v>
      </c>
      <c r="P15" s="12">
        <v>0.12091503267973856</v>
      </c>
      <c r="W15" s="14" t="s">
        <v>1297</v>
      </c>
      <c r="X15">
        <v>37</v>
      </c>
    </row>
    <row r="16" spans="2:24" x14ac:dyDescent="0.2">
      <c r="B16" s="14" t="s">
        <v>224</v>
      </c>
      <c r="C16">
        <v>306</v>
      </c>
      <c r="E16" s="14" t="s">
        <v>1131</v>
      </c>
      <c r="F16" s="15"/>
      <c r="G16" s="15">
        <v>10</v>
      </c>
      <c r="H16" s="15">
        <v>26</v>
      </c>
      <c r="I16" s="15">
        <v>1</v>
      </c>
      <c r="J16" s="15"/>
      <c r="K16" s="13">
        <v>37</v>
      </c>
      <c r="O16" s="14" t="s">
        <v>224</v>
      </c>
      <c r="P16" s="12">
        <v>1</v>
      </c>
    </row>
    <row r="17" spans="2:13" ht="34" customHeight="1" x14ac:dyDescent="0.2">
      <c r="E17" s="14" t="s">
        <v>224</v>
      </c>
      <c r="F17" s="15">
        <v>56</v>
      </c>
      <c r="G17" s="15">
        <v>155</v>
      </c>
      <c r="H17" s="15">
        <v>27</v>
      </c>
      <c r="I17" s="15">
        <v>27</v>
      </c>
      <c r="J17" s="15">
        <v>41</v>
      </c>
      <c r="K17" s="13">
        <v>306</v>
      </c>
    </row>
    <row r="20" spans="2:13" x14ac:dyDescent="0.2">
      <c r="B20" s="58" t="s">
        <v>1204</v>
      </c>
    </row>
    <row r="22" spans="2:13" x14ac:dyDescent="0.2">
      <c r="B22" s="11" t="s">
        <v>1201</v>
      </c>
      <c r="C22" s="11" t="s">
        <v>596</v>
      </c>
    </row>
    <row r="23" spans="2:13" ht="51" x14ac:dyDescent="0.2">
      <c r="B23" s="11" t="s">
        <v>250</v>
      </c>
      <c r="C23" s="15" t="s">
        <v>262</v>
      </c>
      <c r="D23" s="15" t="s">
        <v>1256</v>
      </c>
      <c r="E23" s="15" t="s">
        <v>1194</v>
      </c>
      <c r="F23" s="15" t="s">
        <v>1189</v>
      </c>
      <c r="G23" s="15" t="s">
        <v>1190</v>
      </c>
      <c r="H23" s="15" t="s">
        <v>1192</v>
      </c>
      <c r="I23" s="15" t="s">
        <v>1193</v>
      </c>
      <c r="J23" s="15" t="s">
        <v>1191</v>
      </c>
      <c r="K23" s="15">
        <v>1900</v>
      </c>
      <c r="L23" s="88" t="s">
        <v>1250</v>
      </c>
      <c r="M23" s="13" t="s">
        <v>224</v>
      </c>
    </row>
    <row r="24" spans="2:13" x14ac:dyDescent="0.2">
      <c r="B24" s="14" t="s">
        <v>1140</v>
      </c>
      <c r="C24" s="15"/>
      <c r="D24" s="15"/>
      <c r="E24" s="15">
        <v>3</v>
      </c>
      <c r="F24" s="15">
        <v>3</v>
      </c>
      <c r="G24" s="15">
        <v>1</v>
      </c>
      <c r="H24" s="15"/>
      <c r="I24" s="15">
        <v>2</v>
      </c>
      <c r="J24" s="15"/>
      <c r="K24" s="15"/>
      <c r="L24" s="15"/>
      <c r="M24" s="13">
        <v>9</v>
      </c>
    </row>
    <row r="25" spans="2:13" x14ac:dyDescent="0.2">
      <c r="B25" s="14" t="s">
        <v>1138</v>
      </c>
      <c r="C25" s="15"/>
      <c r="D25" s="15"/>
      <c r="E25" s="15">
        <v>2</v>
      </c>
      <c r="F25" s="15"/>
      <c r="G25" s="15">
        <v>3</v>
      </c>
      <c r="H25" s="15">
        <v>3</v>
      </c>
      <c r="I25" s="15"/>
      <c r="J25" s="15">
        <v>1</v>
      </c>
      <c r="K25" s="15"/>
      <c r="L25" s="15">
        <v>1</v>
      </c>
      <c r="M25" s="13">
        <v>10</v>
      </c>
    </row>
    <row r="26" spans="2:13" x14ac:dyDescent="0.2">
      <c r="B26" s="14" t="s">
        <v>1146</v>
      </c>
      <c r="C26" s="15"/>
      <c r="D26" s="15"/>
      <c r="E26" s="15"/>
      <c r="F26" s="15"/>
      <c r="G26" s="15"/>
      <c r="H26" s="15">
        <v>4</v>
      </c>
      <c r="I26" s="15">
        <v>1</v>
      </c>
      <c r="J26" s="15">
        <v>21</v>
      </c>
      <c r="K26" s="15">
        <v>4</v>
      </c>
      <c r="L26" s="15"/>
      <c r="M26" s="13">
        <v>30</v>
      </c>
    </row>
    <row r="27" spans="2:13" x14ac:dyDescent="0.2">
      <c r="B27" s="14" t="s">
        <v>1132</v>
      </c>
      <c r="C27" s="15"/>
      <c r="D27" s="15"/>
      <c r="E27" s="15"/>
      <c r="F27" s="15"/>
      <c r="G27" s="15"/>
      <c r="H27" s="15">
        <v>1</v>
      </c>
      <c r="I27" s="15">
        <v>5</v>
      </c>
      <c r="J27" s="15">
        <v>2</v>
      </c>
      <c r="K27" s="15">
        <v>4</v>
      </c>
      <c r="L27" s="15">
        <v>1</v>
      </c>
      <c r="M27" s="13">
        <v>13</v>
      </c>
    </row>
    <row r="28" spans="2:13" x14ac:dyDescent="0.2">
      <c r="B28" s="14" t="s">
        <v>1135</v>
      </c>
      <c r="C28" s="15">
        <v>1</v>
      </c>
      <c r="D28" s="15">
        <v>2</v>
      </c>
      <c r="E28" s="15">
        <v>1</v>
      </c>
      <c r="F28" s="15"/>
      <c r="G28" s="15">
        <v>2</v>
      </c>
      <c r="H28" s="15"/>
      <c r="I28" s="15">
        <v>4</v>
      </c>
      <c r="J28" s="15">
        <v>13</v>
      </c>
      <c r="K28" s="15">
        <v>1</v>
      </c>
      <c r="L28" s="15"/>
      <c r="M28" s="13">
        <v>24</v>
      </c>
    </row>
    <row r="29" spans="2:13" x14ac:dyDescent="0.2">
      <c r="B29" s="14" t="s">
        <v>1150</v>
      </c>
      <c r="C29" s="15"/>
      <c r="D29" s="15"/>
      <c r="E29" s="15"/>
      <c r="F29" s="15"/>
      <c r="G29" s="15"/>
      <c r="H29" s="15">
        <v>1</v>
      </c>
      <c r="I29" s="15"/>
      <c r="J29" s="15"/>
      <c r="K29" s="15"/>
      <c r="L29" s="15"/>
      <c r="M29" s="13">
        <v>1</v>
      </c>
    </row>
    <row r="30" spans="2:13" x14ac:dyDescent="0.2">
      <c r="B30" s="14" t="s">
        <v>1142</v>
      </c>
      <c r="C30" s="15"/>
      <c r="D30" s="15"/>
      <c r="E30" s="15">
        <v>11</v>
      </c>
      <c r="F30" s="15"/>
      <c r="G30" s="15"/>
      <c r="H30" s="15">
        <v>1</v>
      </c>
      <c r="I30" s="15">
        <v>1</v>
      </c>
      <c r="J30" s="15"/>
      <c r="K30" s="15"/>
      <c r="L30" s="15"/>
      <c r="M30" s="13">
        <v>13</v>
      </c>
    </row>
    <row r="31" spans="2:13" x14ac:dyDescent="0.2">
      <c r="B31" s="14" t="s">
        <v>1151</v>
      </c>
      <c r="C31" s="15">
        <v>37</v>
      </c>
      <c r="D31" s="15">
        <v>38</v>
      </c>
      <c r="E31" s="15">
        <v>13</v>
      </c>
      <c r="F31" s="15">
        <v>1</v>
      </c>
      <c r="G31" s="15">
        <v>3</v>
      </c>
      <c r="H31" s="15">
        <v>2</v>
      </c>
      <c r="I31" s="15">
        <v>3</v>
      </c>
      <c r="J31" s="15">
        <v>20</v>
      </c>
      <c r="K31" s="15">
        <v>2</v>
      </c>
      <c r="L31" s="15">
        <v>5</v>
      </c>
      <c r="M31" s="13">
        <v>124</v>
      </c>
    </row>
    <row r="32" spans="2:13" x14ac:dyDescent="0.2">
      <c r="B32" s="14" t="s">
        <v>1139</v>
      </c>
      <c r="C32" s="15"/>
      <c r="D32" s="15">
        <v>2</v>
      </c>
      <c r="E32" s="15">
        <v>6</v>
      </c>
      <c r="F32" s="15"/>
      <c r="G32" s="15"/>
      <c r="H32" s="15">
        <v>3</v>
      </c>
      <c r="I32" s="15">
        <v>2</v>
      </c>
      <c r="J32" s="15">
        <v>1</v>
      </c>
      <c r="K32" s="15"/>
      <c r="L32" s="15">
        <v>1</v>
      </c>
      <c r="M32" s="13">
        <v>15</v>
      </c>
    </row>
    <row r="33" spans="2:13" x14ac:dyDescent="0.2">
      <c r="B33" s="14" t="s">
        <v>1134</v>
      </c>
      <c r="C33" s="15"/>
      <c r="D33" s="15"/>
      <c r="E33" s="15"/>
      <c r="F33" s="15"/>
      <c r="G33" s="15">
        <v>1</v>
      </c>
      <c r="H33" s="15">
        <v>1</v>
      </c>
      <c r="I33" s="15">
        <v>8</v>
      </c>
      <c r="J33" s="15">
        <v>18</v>
      </c>
      <c r="K33" s="15">
        <v>1</v>
      </c>
      <c r="L33" s="15">
        <v>1</v>
      </c>
      <c r="M33" s="13">
        <v>30</v>
      </c>
    </row>
    <row r="34" spans="2:13" x14ac:dyDescent="0.2">
      <c r="B34" s="14" t="s">
        <v>1131</v>
      </c>
      <c r="C34" s="15"/>
      <c r="D34" s="15">
        <v>1</v>
      </c>
      <c r="E34" s="15">
        <v>3</v>
      </c>
      <c r="F34" s="15">
        <v>14</v>
      </c>
      <c r="G34" s="15">
        <v>1</v>
      </c>
      <c r="H34" s="15">
        <v>2</v>
      </c>
      <c r="I34" s="15">
        <v>3</v>
      </c>
      <c r="J34" s="15">
        <v>3</v>
      </c>
      <c r="K34" s="15"/>
      <c r="L34" s="15">
        <v>10</v>
      </c>
      <c r="M34" s="13">
        <v>37</v>
      </c>
    </row>
    <row r="35" spans="2:13" x14ac:dyDescent="0.2">
      <c r="B35" s="14" t="s">
        <v>224</v>
      </c>
      <c r="C35" s="15">
        <v>38</v>
      </c>
      <c r="D35" s="15">
        <v>43</v>
      </c>
      <c r="E35" s="15">
        <v>39</v>
      </c>
      <c r="F35" s="15">
        <v>18</v>
      </c>
      <c r="G35" s="15">
        <v>11</v>
      </c>
      <c r="H35" s="15">
        <v>18</v>
      </c>
      <c r="I35" s="15">
        <v>29</v>
      </c>
      <c r="J35" s="15">
        <v>79</v>
      </c>
      <c r="K35" s="15">
        <v>12</v>
      </c>
      <c r="L35" s="15">
        <v>19</v>
      </c>
      <c r="M35" s="13">
        <v>306</v>
      </c>
    </row>
    <row r="38" spans="2:13" x14ac:dyDescent="0.2">
      <c r="B38" s="11" t="s">
        <v>256</v>
      </c>
      <c r="C38" s="11" t="s">
        <v>596</v>
      </c>
    </row>
    <row r="39" spans="2:13" x14ac:dyDescent="0.2">
      <c r="B39" s="11" t="s">
        <v>250</v>
      </c>
      <c r="C39">
        <v>1900</v>
      </c>
      <c r="D39" t="s">
        <v>1194</v>
      </c>
      <c r="E39" t="s">
        <v>1189</v>
      </c>
      <c r="F39" t="s">
        <v>1190</v>
      </c>
      <c r="G39" t="s">
        <v>1192</v>
      </c>
      <c r="H39" t="s">
        <v>1193</v>
      </c>
      <c r="I39" t="s">
        <v>1191</v>
      </c>
      <c r="J39" t="s">
        <v>262</v>
      </c>
      <c r="K39" t="s">
        <v>1197</v>
      </c>
      <c r="L39" t="s">
        <v>1256</v>
      </c>
      <c r="M39" t="s">
        <v>224</v>
      </c>
    </row>
    <row r="40" spans="2:13" x14ac:dyDescent="0.2">
      <c r="B40" s="14" t="s">
        <v>0</v>
      </c>
      <c r="C40">
        <v>1</v>
      </c>
      <c r="E40">
        <v>1</v>
      </c>
      <c r="F40">
        <v>3</v>
      </c>
      <c r="G40">
        <v>1</v>
      </c>
      <c r="I40">
        <v>3</v>
      </c>
      <c r="J40">
        <v>33</v>
      </c>
      <c r="K40">
        <v>3</v>
      </c>
      <c r="L40">
        <v>11</v>
      </c>
      <c r="M40">
        <v>56</v>
      </c>
    </row>
    <row r="41" spans="2:13" x14ac:dyDescent="0.2">
      <c r="B41" s="14" t="s">
        <v>203</v>
      </c>
      <c r="C41">
        <v>11</v>
      </c>
      <c r="D41">
        <v>25</v>
      </c>
      <c r="E41">
        <v>3</v>
      </c>
      <c r="F41">
        <v>4</v>
      </c>
      <c r="G41">
        <v>8</v>
      </c>
      <c r="H41">
        <v>24</v>
      </c>
      <c r="I41">
        <v>70</v>
      </c>
      <c r="K41">
        <v>6</v>
      </c>
      <c r="L41">
        <v>4</v>
      </c>
      <c r="M41">
        <v>155</v>
      </c>
    </row>
    <row r="42" spans="2:13" x14ac:dyDescent="0.2">
      <c r="B42" s="14" t="s">
        <v>66</v>
      </c>
      <c r="E42">
        <v>14</v>
      </c>
      <c r="F42">
        <v>1</v>
      </c>
      <c r="H42">
        <v>2</v>
      </c>
      <c r="I42">
        <v>1</v>
      </c>
      <c r="K42">
        <v>8</v>
      </c>
      <c r="L42">
        <v>1</v>
      </c>
      <c r="M42">
        <v>27</v>
      </c>
    </row>
    <row r="43" spans="2:13" x14ac:dyDescent="0.2">
      <c r="B43" s="14" t="s">
        <v>3</v>
      </c>
      <c r="D43">
        <v>8</v>
      </c>
      <c r="F43">
        <v>2</v>
      </c>
      <c r="G43">
        <v>6</v>
      </c>
      <c r="H43">
        <v>2</v>
      </c>
      <c r="I43">
        <v>4</v>
      </c>
      <c r="J43">
        <v>2</v>
      </c>
      <c r="L43">
        <v>3</v>
      </c>
      <c r="M43">
        <v>27</v>
      </c>
    </row>
    <row r="44" spans="2:13" x14ac:dyDescent="0.2">
      <c r="B44" s="14" t="s">
        <v>247</v>
      </c>
      <c r="D44">
        <v>6</v>
      </c>
      <c r="F44">
        <v>1</v>
      </c>
      <c r="G44">
        <v>3</v>
      </c>
      <c r="H44">
        <v>1</v>
      </c>
      <c r="I44">
        <v>1</v>
      </c>
      <c r="J44">
        <v>3</v>
      </c>
      <c r="K44">
        <v>2</v>
      </c>
      <c r="L44">
        <v>24</v>
      </c>
      <c r="M44">
        <v>41</v>
      </c>
    </row>
    <row r="45" spans="2:13" x14ac:dyDescent="0.2">
      <c r="B45" s="14" t="s">
        <v>224</v>
      </c>
      <c r="C45">
        <v>12</v>
      </c>
      <c r="D45">
        <v>39</v>
      </c>
      <c r="E45">
        <v>18</v>
      </c>
      <c r="F45">
        <v>11</v>
      </c>
      <c r="G45">
        <v>18</v>
      </c>
      <c r="H45">
        <v>29</v>
      </c>
      <c r="I45">
        <v>79</v>
      </c>
      <c r="J45">
        <v>38</v>
      </c>
      <c r="K45">
        <v>19</v>
      </c>
      <c r="L45">
        <v>43</v>
      </c>
      <c r="M45">
        <v>306</v>
      </c>
    </row>
    <row r="48" spans="2:13" x14ac:dyDescent="0.2">
      <c r="B48" s="11" t="s">
        <v>251</v>
      </c>
      <c r="C48" s="11" t="s">
        <v>596</v>
      </c>
    </row>
    <row r="49" spans="2:13" x14ac:dyDescent="0.2">
      <c r="B49" s="11" t="s">
        <v>250</v>
      </c>
      <c r="C49">
        <v>1900</v>
      </c>
      <c r="D49" t="s">
        <v>1194</v>
      </c>
      <c r="E49" t="s">
        <v>1189</v>
      </c>
      <c r="F49" t="s">
        <v>1190</v>
      </c>
      <c r="G49" t="s">
        <v>1192</v>
      </c>
      <c r="H49" t="s">
        <v>1193</v>
      </c>
      <c r="I49" t="s">
        <v>1191</v>
      </c>
      <c r="J49" t="s">
        <v>262</v>
      </c>
      <c r="K49" t="s">
        <v>1197</v>
      </c>
      <c r="L49" t="s">
        <v>1256</v>
      </c>
      <c r="M49" t="s">
        <v>224</v>
      </c>
    </row>
    <row r="50" spans="2:13" x14ac:dyDescent="0.2">
      <c r="B50" s="14" t="s">
        <v>135</v>
      </c>
      <c r="C50">
        <v>5</v>
      </c>
      <c r="G50">
        <v>6</v>
      </c>
      <c r="H50">
        <v>7</v>
      </c>
      <c r="I50">
        <v>27</v>
      </c>
      <c r="L50">
        <v>1</v>
      </c>
      <c r="M50">
        <v>46</v>
      </c>
    </row>
    <row r="51" spans="2:13" x14ac:dyDescent="0.2">
      <c r="B51" s="14" t="s">
        <v>90</v>
      </c>
      <c r="D51">
        <v>25</v>
      </c>
      <c r="E51">
        <v>2</v>
      </c>
      <c r="F51">
        <v>2</v>
      </c>
      <c r="G51">
        <v>1</v>
      </c>
      <c r="I51">
        <v>15</v>
      </c>
      <c r="K51">
        <v>4</v>
      </c>
      <c r="L51">
        <v>2</v>
      </c>
      <c r="M51">
        <v>51</v>
      </c>
    </row>
    <row r="52" spans="2:13" x14ac:dyDescent="0.2">
      <c r="B52" s="14" t="s">
        <v>76</v>
      </c>
      <c r="F52">
        <v>3</v>
      </c>
      <c r="I52">
        <v>1</v>
      </c>
      <c r="K52">
        <v>2</v>
      </c>
      <c r="L52">
        <v>4</v>
      </c>
      <c r="M52">
        <v>10</v>
      </c>
    </row>
    <row r="53" spans="2:13" x14ac:dyDescent="0.2">
      <c r="B53" s="14" t="s">
        <v>82</v>
      </c>
      <c r="C53">
        <v>1</v>
      </c>
      <c r="G53">
        <v>1</v>
      </c>
      <c r="I53">
        <v>1</v>
      </c>
      <c r="J53">
        <v>1</v>
      </c>
      <c r="L53">
        <v>3</v>
      </c>
      <c r="M53">
        <v>7</v>
      </c>
    </row>
    <row r="54" spans="2:13" x14ac:dyDescent="0.2">
      <c r="B54" s="14" t="s">
        <v>600</v>
      </c>
      <c r="L54">
        <v>2</v>
      </c>
      <c r="M54">
        <v>2</v>
      </c>
    </row>
    <row r="55" spans="2:13" x14ac:dyDescent="0.2">
      <c r="B55" s="14" t="s">
        <v>599</v>
      </c>
      <c r="L55">
        <v>1</v>
      </c>
      <c r="M55">
        <v>1</v>
      </c>
    </row>
    <row r="56" spans="2:13" x14ac:dyDescent="0.2">
      <c r="B56" s="14" t="s">
        <v>205</v>
      </c>
      <c r="E56">
        <v>1</v>
      </c>
      <c r="J56">
        <v>32</v>
      </c>
      <c r="K56">
        <v>1</v>
      </c>
      <c r="L56">
        <v>2</v>
      </c>
      <c r="M56">
        <v>36</v>
      </c>
    </row>
    <row r="57" spans="2:13" x14ac:dyDescent="0.2">
      <c r="B57" s="14" t="s">
        <v>89</v>
      </c>
      <c r="D57">
        <v>1</v>
      </c>
      <c r="G57">
        <v>3</v>
      </c>
      <c r="H57">
        <v>1</v>
      </c>
      <c r="I57">
        <v>1</v>
      </c>
      <c r="J57">
        <v>2</v>
      </c>
      <c r="L57">
        <v>4</v>
      </c>
      <c r="M57">
        <v>12</v>
      </c>
    </row>
    <row r="58" spans="2:13" x14ac:dyDescent="0.2">
      <c r="B58" s="14" t="s">
        <v>138</v>
      </c>
      <c r="D58">
        <v>4</v>
      </c>
      <c r="F58">
        <v>1</v>
      </c>
      <c r="M58">
        <v>5</v>
      </c>
    </row>
    <row r="59" spans="2:13" x14ac:dyDescent="0.2">
      <c r="B59" s="14" t="s">
        <v>137</v>
      </c>
      <c r="J59">
        <v>1</v>
      </c>
      <c r="L59">
        <v>3</v>
      </c>
      <c r="M59">
        <v>4</v>
      </c>
    </row>
    <row r="60" spans="2:13" x14ac:dyDescent="0.2">
      <c r="B60" s="14" t="s">
        <v>100</v>
      </c>
      <c r="K60">
        <v>1</v>
      </c>
      <c r="L60">
        <v>1</v>
      </c>
      <c r="M60">
        <v>2</v>
      </c>
    </row>
    <row r="61" spans="2:13" x14ac:dyDescent="0.2">
      <c r="B61" s="14" t="s">
        <v>98</v>
      </c>
      <c r="L61">
        <v>1</v>
      </c>
      <c r="M61">
        <v>1</v>
      </c>
    </row>
    <row r="62" spans="2:13" x14ac:dyDescent="0.2">
      <c r="B62" s="14" t="s">
        <v>207</v>
      </c>
      <c r="I62">
        <v>1</v>
      </c>
      <c r="K62">
        <v>1</v>
      </c>
      <c r="M62">
        <v>2</v>
      </c>
    </row>
    <row r="63" spans="2:13" x14ac:dyDescent="0.2">
      <c r="B63" s="14" t="s">
        <v>66</v>
      </c>
      <c r="E63">
        <v>14</v>
      </c>
      <c r="F63">
        <v>1</v>
      </c>
      <c r="H63">
        <v>2</v>
      </c>
      <c r="I63">
        <v>1</v>
      </c>
      <c r="K63">
        <v>8</v>
      </c>
      <c r="L63">
        <v>1</v>
      </c>
      <c r="M63">
        <v>27</v>
      </c>
    </row>
    <row r="64" spans="2:13" x14ac:dyDescent="0.2">
      <c r="B64" s="14" t="s">
        <v>97</v>
      </c>
      <c r="L64">
        <v>5</v>
      </c>
      <c r="M64">
        <v>5</v>
      </c>
    </row>
    <row r="65" spans="2:14" x14ac:dyDescent="0.2">
      <c r="B65" s="14" t="s">
        <v>37</v>
      </c>
      <c r="C65">
        <v>5</v>
      </c>
      <c r="H65">
        <v>9</v>
      </c>
      <c r="I65">
        <v>7</v>
      </c>
      <c r="K65">
        <v>1</v>
      </c>
      <c r="M65">
        <v>22</v>
      </c>
    </row>
    <row r="66" spans="2:14" x14ac:dyDescent="0.2">
      <c r="B66" s="14" t="s">
        <v>51</v>
      </c>
      <c r="C66">
        <v>1</v>
      </c>
      <c r="E66">
        <v>1</v>
      </c>
      <c r="F66">
        <v>2</v>
      </c>
      <c r="G66">
        <v>1</v>
      </c>
      <c r="H66">
        <v>8</v>
      </c>
      <c r="I66">
        <v>21</v>
      </c>
      <c r="K66">
        <v>1</v>
      </c>
      <c r="L66">
        <v>1</v>
      </c>
      <c r="M66">
        <v>36</v>
      </c>
    </row>
    <row r="67" spans="2:14" x14ac:dyDescent="0.2">
      <c r="B67" s="14" t="s">
        <v>3</v>
      </c>
      <c r="D67">
        <v>8</v>
      </c>
      <c r="F67">
        <v>2</v>
      </c>
      <c r="G67">
        <v>6</v>
      </c>
      <c r="H67">
        <v>2</v>
      </c>
      <c r="I67">
        <v>4</v>
      </c>
      <c r="J67">
        <v>2</v>
      </c>
      <c r="L67">
        <v>3</v>
      </c>
      <c r="M67">
        <v>27</v>
      </c>
    </row>
    <row r="68" spans="2:14" x14ac:dyDescent="0.2">
      <c r="B68" s="14" t="s">
        <v>93</v>
      </c>
      <c r="D68">
        <v>1</v>
      </c>
      <c r="M68">
        <v>1</v>
      </c>
    </row>
    <row r="69" spans="2:14" x14ac:dyDescent="0.2">
      <c r="B69" s="14" t="s">
        <v>99</v>
      </c>
      <c r="L69">
        <v>8</v>
      </c>
      <c r="M69">
        <v>8</v>
      </c>
    </row>
    <row r="70" spans="2:14" x14ac:dyDescent="0.2">
      <c r="B70" s="14" t="s">
        <v>95</v>
      </c>
      <c r="L70">
        <v>1</v>
      </c>
      <c r="M70">
        <v>1</v>
      </c>
    </row>
    <row r="71" spans="2:14" x14ac:dyDescent="0.2">
      <c r="B71" s="14" t="s">
        <v>224</v>
      </c>
      <c r="C71">
        <v>12</v>
      </c>
      <c r="D71">
        <v>39</v>
      </c>
      <c r="E71">
        <v>18</v>
      </c>
      <c r="F71">
        <v>11</v>
      </c>
      <c r="G71">
        <v>18</v>
      </c>
      <c r="H71">
        <v>29</v>
      </c>
      <c r="I71">
        <v>79</v>
      </c>
      <c r="J71">
        <v>38</v>
      </c>
      <c r="K71">
        <v>19</v>
      </c>
      <c r="L71">
        <v>43</v>
      </c>
      <c r="M71">
        <v>306</v>
      </c>
    </row>
    <row r="74" spans="2:14" x14ac:dyDescent="0.2">
      <c r="B74" s="11" t="s">
        <v>251</v>
      </c>
      <c r="C74" s="11" t="s">
        <v>596</v>
      </c>
    </row>
    <row r="75" spans="2:14" x14ac:dyDescent="0.2">
      <c r="B75" s="11" t="s">
        <v>250</v>
      </c>
      <c r="C75" s="15" t="s">
        <v>1140</v>
      </c>
      <c r="D75" s="15" t="s">
        <v>1138</v>
      </c>
      <c r="E75" s="15" t="s">
        <v>1146</v>
      </c>
      <c r="F75" s="15" t="s">
        <v>1132</v>
      </c>
      <c r="G75" s="15" t="s">
        <v>1135</v>
      </c>
      <c r="H75" s="15" t="s">
        <v>1150</v>
      </c>
      <c r="I75" s="15" t="s">
        <v>1142</v>
      </c>
      <c r="J75" s="15" t="s">
        <v>1151</v>
      </c>
      <c r="K75" s="15" t="s">
        <v>1139</v>
      </c>
      <c r="L75" s="15" t="s">
        <v>1134</v>
      </c>
      <c r="M75" s="15" t="s">
        <v>1131</v>
      </c>
      <c r="N75" t="s">
        <v>224</v>
      </c>
    </row>
    <row r="76" spans="2:14" x14ac:dyDescent="0.2">
      <c r="B76" s="14" t="s">
        <v>135</v>
      </c>
      <c r="C76" s="15"/>
      <c r="D76" s="15">
        <v>1</v>
      </c>
      <c r="E76" s="15">
        <v>28</v>
      </c>
      <c r="F76" s="15">
        <v>4</v>
      </c>
      <c r="G76" s="15">
        <v>5</v>
      </c>
      <c r="H76" s="15"/>
      <c r="I76" s="15">
        <v>1</v>
      </c>
      <c r="J76" s="15">
        <v>4</v>
      </c>
      <c r="K76" s="15"/>
      <c r="L76" s="15">
        <v>1</v>
      </c>
      <c r="M76" s="15">
        <v>2</v>
      </c>
      <c r="N76">
        <v>46</v>
      </c>
    </row>
    <row r="77" spans="2:14" x14ac:dyDescent="0.2">
      <c r="B77" s="14" t="s">
        <v>90</v>
      </c>
      <c r="C77" s="15">
        <v>6</v>
      </c>
      <c r="D77" s="15">
        <v>3</v>
      </c>
      <c r="E77" s="15">
        <v>1</v>
      </c>
      <c r="F77" s="15"/>
      <c r="G77" s="15"/>
      <c r="H77" s="15"/>
      <c r="I77" s="15">
        <v>6</v>
      </c>
      <c r="J77" s="15">
        <v>28</v>
      </c>
      <c r="K77" s="15">
        <v>2</v>
      </c>
      <c r="L77" s="15"/>
      <c r="M77" s="15">
        <v>5</v>
      </c>
      <c r="N77">
        <v>51</v>
      </c>
    </row>
    <row r="78" spans="2:14" x14ac:dyDescent="0.2">
      <c r="B78" s="14" t="s">
        <v>76</v>
      </c>
      <c r="C78" s="15"/>
      <c r="D78" s="15">
        <v>1</v>
      </c>
      <c r="E78" s="15"/>
      <c r="F78" s="15"/>
      <c r="G78" s="15"/>
      <c r="H78" s="15"/>
      <c r="I78" s="15"/>
      <c r="J78" s="15">
        <v>9</v>
      </c>
      <c r="K78" s="15"/>
      <c r="L78" s="15"/>
      <c r="M78" s="15"/>
      <c r="N78">
        <v>10</v>
      </c>
    </row>
    <row r="79" spans="2:14" x14ac:dyDescent="0.2">
      <c r="B79" s="14" t="s">
        <v>82</v>
      </c>
      <c r="C79" s="15"/>
      <c r="D79" s="15"/>
      <c r="E79" s="15"/>
      <c r="F79" s="15"/>
      <c r="G79" s="15"/>
      <c r="H79" s="15"/>
      <c r="I79" s="15"/>
      <c r="J79" s="15">
        <v>7</v>
      </c>
      <c r="K79" s="15"/>
      <c r="L79" s="15"/>
      <c r="M79" s="15"/>
      <c r="N79">
        <v>7</v>
      </c>
    </row>
    <row r="80" spans="2:14" x14ac:dyDescent="0.2">
      <c r="B80" s="14" t="s">
        <v>600</v>
      </c>
      <c r="C80" s="15"/>
      <c r="D80" s="15"/>
      <c r="E80" s="15"/>
      <c r="F80" s="15"/>
      <c r="G80" s="15"/>
      <c r="H80" s="15"/>
      <c r="I80" s="15"/>
      <c r="J80" s="15">
        <v>2</v>
      </c>
      <c r="K80" s="15"/>
      <c r="L80" s="15"/>
      <c r="M80" s="15"/>
      <c r="N80">
        <v>2</v>
      </c>
    </row>
    <row r="81" spans="2:14" x14ac:dyDescent="0.2">
      <c r="B81" s="14" t="s">
        <v>599</v>
      </c>
      <c r="C81" s="15"/>
      <c r="D81" s="15"/>
      <c r="E81" s="15"/>
      <c r="F81" s="15"/>
      <c r="G81" s="15"/>
      <c r="H81" s="15"/>
      <c r="I81" s="15"/>
      <c r="J81" s="15">
        <v>1</v>
      </c>
      <c r="K81" s="15"/>
      <c r="L81" s="15"/>
      <c r="M81" s="15"/>
      <c r="N81">
        <v>1</v>
      </c>
    </row>
    <row r="82" spans="2:14" x14ac:dyDescent="0.2">
      <c r="B82" s="14" t="s">
        <v>205</v>
      </c>
      <c r="C82" s="15"/>
      <c r="D82" s="15"/>
      <c r="E82" s="15"/>
      <c r="F82" s="15"/>
      <c r="G82" s="15"/>
      <c r="H82" s="15"/>
      <c r="I82" s="15"/>
      <c r="J82" s="15">
        <v>36</v>
      </c>
      <c r="K82" s="15"/>
      <c r="L82" s="15"/>
      <c r="M82" s="15"/>
      <c r="N82">
        <v>36</v>
      </c>
    </row>
    <row r="83" spans="2:14" x14ac:dyDescent="0.2">
      <c r="B83" s="14" t="s">
        <v>89</v>
      </c>
      <c r="C83" s="15"/>
      <c r="D83" s="15"/>
      <c r="E83" s="15"/>
      <c r="F83" s="15"/>
      <c r="G83" s="15"/>
      <c r="H83" s="15"/>
      <c r="I83" s="15"/>
      <c r="J83" s="15">
        <v>7</v>
      </c>
      <c r="K83" s="15">
        <v>5</v>
      </c>
      <c r="L83" s="15"/>
      <c r="M83" s="15"/>
      <c r="N83">
        <v>12</v>
      </c>
    </row>
    <row r="84" spans="2:14" x14ac:dyDescent="0.2">
      <c r="B84" s="14" t="s">
        <v>138</v>
      </c>
      <c r="C84" s="15"/>
      <c r="D84" s="15">
        <v>1</v>
      </c>
      <c r="E84" s="15"/>
      <c r="F84" s="15"/>
      <c r="G84" s="15"/>
      <c r="H84" s="15"/>
      <c r="I84" s="15"/>
      <c r="J84" s="15">
        <v>1</v>
      </c>
      <c r="K84" s="15">
        <v>3</v>
      </c>
      <c r="L84" s="15"/>
      <c r="M84" s="15"/>
      <c r="N84">
        <v>5</v>
      </c>
    </row>
    <row r="85" spans="2:14" x14ac:dyDescent="0.2">
      <c r="B85" s="14" t="s">
        <v>137</v>
      </c>
      <c r="C85" s="15"/>
      <c r="D85" s="15"/>
      <c r="E85" s="15"/>
      <c r="F85" s="15"/>
      <c r="G85" s="15"/>
      <c r="H85" s="15"/>
      <c r="I85" s="15"/>
      <c r="J85" s="15">
        <v>3</v>
      </c>
      <c r="K85" s="15">
        <v>1</v>
      </c>
      <c r="L85" s="15"/>
      <c r="M85" s="15"/>
      <c r="N85">
        <v>4</v>
      </c>
    </row>
    <row r="86" spans="2:14" x14ac:dyDescent="0.2">
      <c r="B86" s="14" t="s">
        <v>100</v>
      </c>
      <c r="C86" s="15"/>
      <c r="D86" s="15"/>
      <c r="E86" s="15"/>
      <c r="F86" s="15"/>
      <c r="G86" s="15"/>
      <c r="H86" s="15"/>
      <c r="I86" s="15"/>
      <c r="J86" s="15">
        <v>2</v>
      </c>
      <c r="K86" s="15"/>
      <c r="L86" s="15"/>
      <c r="M86" s="15"/>
      <c r="N86">
        <v>2</v>
      </c>
    </row>
    <row r="87" spans="2:14" x14ac:dyDescent="0.2">
      <c r="B87" s="14" t="s">
        <v>98</v>
      </c>
      <c r="C87" s="15"/>
      <c r="D87" s="15"/>
      <c r="E87" s="15"/>
      <c r="F87" s="15"/>
      <c r="G87" s="15"/>
      <c r="H87" s="15"/>
      <c r="I87" s="15"/>
      <c r="J87" s="15">
        <v>1</v>
      </c>
      <c r="K87" s="15"/>
      <c r="L87" s="15"/>
      <c r="M87" s="15"/>
      <c r="N87">
        <v>1</v>
      </c>
    </row>
    <row r="88" spans="2:14" x14ac:dyDescent="0.2">
      <c r="B88" s="14" t="s">
        <v>207</v>
      </c>
      <c r="C88" s="15"/>
      <c r="D88" s="15"/>
      <c r="E88" s="15"/>
      <c r="F88" s="15"/>
      <c r="G88" s="15"/>
      <c r="H88" s="15"/>
      <c r="I88" s="15"/>
      <c r="J88" s="15">
        <v>2</v>
      </c>
      <c r="K88" s="15"/>
      <c r="L88" s="15"/>
      <c r="M88" s="15"/>
      <c r="N88">
        <v>2</v>
      </c>
    </row>
    <row r="89" spans="2:14" x14ac:dyDescent="0.2">
      <c r="B89" s="14" t="s">
        <v>66</v>
      </c>
      <c r="C89" s="15">
        <v>1</v>
      </c>
      <c r="D89" s="15"/>
      <c r="E89" s="15"/>
      <c r="F89" s="15"/>
      <c r="G89" s="15"/>
      <c r="H89" s="15"/>
      <c r="I89" s="15"/>
      <c r="J89" s="15"/>
      <c r="K89" s="15"/>
      <c r="L89" s="15"/>
      <c r="M89" s="15">
        <v>26</v>
      </c>
      <c r="N89">
        <v>27</v>
      </c>
    </row>
    <row r="90" spans="2:14" x14ac:dyDescent="0.2">
      <c r="B90" s="14" t="s">
        <v>97</v>
      </c>
      <c r="C90" s="15"/>
      <c r="D90" s="15"/>
      <c r="E90" s="15"/>
      <c r="F90" s="15"/>
      <c r="G90" s="15"/>
      <c r="H90" s="15"/>
      <c r="I90" s="15"/>
      <c r="J90" s="15">
        <v>5</v>
      </c>
      <c r="K90" s="15"/>
      <c r="L90" s="15"/>
      <c r="M90" s="15"/>
      <c r="N90">
        <v>5</v>
      </c>
    </row>
    <row r="91" spans="2:14" x14ac:dyDescent="0.2">
      <c r="B91" s="14" t="s">
        <v>37</v>
      </c>
      <c r="C91" s="15">
        <v>1</v>
      </c>
      <c r="D91" s="15"/>
      <c r="E91" s="15"/>
      <c r="F91" s="15">
        <v>9</v>
      </c>
      <c r="G91" s="15">
        <v>7</v>
      </c>
      <c r="H91" s="15"/>
      <c r="I91" s="15"/>
      <c r="J91" s="15"/>
      <c r="K91" s="15"/>
      <c r="L91" s="15">
        <v>4</v>
      </c>
      <c r="M91" s="15">
        <v>1</v>
      </c>
      <c r="N91">
        <v>22</v>
      </c>
    </row>
    <row r="92" spans="2:14" x14ac:dyDescent="0.2">
      <c r="B92" s="14" t="s">
        <v>51</v>
      </c>
      <c r="C92" s="15">
        <v>1</v>
      </c>
      <c r="D92" s="15"/>
      <c r="E92" s="15">
        <v>1</v>
      </c>
      <c r="F92" s="15"/>
      <c r="G92" s="15">
        <v>3</v>
      </c>
      <c r="H92" s="15"/>
      <c r="I92" s="15"/>
      <c r="J92" s="15">
        <v>2</v>
      </c>
      <c r="K92" s="15">
        <v>2</v>
      </c>
      <c r="L92" s="15">
        <v>25</v>
      </c>
      <c r="M92" s="15">
        <v>2</v>
      </c>
      <c r="N92">
        <v>36</v>
      </c>
    </row>
    <row r="93" spans="2:14" x14ac:dyDescent="0.2">
      <c r="B93" s="14" t="s">
        <v>3</v>
      </c>
      <c r="C93" s="15"/>
      <c r="D93" s="15">
        <v>4</v>
      </c>
      <c r="E93" s="15"/>
      <c r="F93" s="15"/>
      <c r="G93" s="15">
        <v>9</v>
      </c>
      <c r="H93" s="15">
        <v>1</v>
      </c>
      <c r="I93" s="15">
        <v>6</v>
      </c>
      <c r="J93" s="15">
        <v>5</v>
      </c>
      <c r="K93" s="15">
        <v>1</v>
      </c>
      <c r="L93" s="15"/>
      <c r="M93" s="15">
        <v>1</v>
      </c>
      <c r="N93">
        <v>27</v>
      </c>
    </row>
    <row r="94" spans="2:14" x14ac:dyDescent="0.2">
      <c r="B94" s="14" t="s">
        <v>93</v>
      </c>
      <c r="C94" s="15"/>
      <c r="D94" s="15"/>
      <c r="E94" s="15"/>
      <c r="F94" s="15"/>
      <c r="G94" s="15"/>
      <c r="H94" s="15"/>
      <c r="I94" s="15"/>
      <c r="J94" s="15"/>
      <c r="K94" s="15">
        <v>1</v>
      </c>
      <c r="L94" s="15"/>
      <c r="M94" s="15"/>
      <c r="N94">
        <v>1</v>
      </c>
    </row>
    <row r="95" spans="2:14" x14ac:dyDescent="0.2">
      <c r="B95" s="14" t="s">
        <v>99</v>
      </c>
      <c r="C95" s="15"/>
      <c r="D95" s="15"/>
      <c r="E95" s="15"/>
      <c r="F95" s="15"/>
      <c r="G95" s="15"/>
      <c r="H95" s="15"/>
      <c r="I95" s="15"/>
      <c r="J95" s="15">
        <v>8</v>
      </c>
      <c r="K95" s="15"/>
      <c r="L95" s="15"/>
      <c r="M95" s="15"/>
      <c r="N95">
        <v>8</v>
      </c>
    </row>
    <row r="96" spans="2:14" x14ac:dyDescent="0.2">
      <c r="B96" s="14" t="s">
        <v>95</v>
      </c>
      <c r="C96" s="15"/>
      <c r="D96" s="15"/>
      <c r="E96" s="15"/>
      <c r="F96" s="15"/>
      <c r="G96" s="15"/>
      <c r="H96" s="15"/>
      <c r="I96" s="15"/>
      <c r="J96" s="15">
        <v>1</v>
      </c>
      <c r="K96" s="15"/>
      <c r="L96" s="15"/>
      <c r="M96" s="15"/>
      <c r="N96">
        <v>1</v>
      </c>
    </row>
    <row r="97" spans="2:14" x14ac:dyDescent="0.2">
      <c r="B97" s="14" t="s">
        <v>224</v>
      </c>
      <c r="C97" s="15">
        <v>9</v>
      </c>
      <c r="D97" s="15">
        <v>10</v>
      </c>
      <c r="E97" s="15">
        <v>30</v>
      </c>
      <c r="F97" s="15">
        <v>13</v>
      </c>
      <c r="G97" s="15">
        <v>24</v>
      </c>
      <c r="H97" s="15">
        <v>1</v>
      </c>
      <c r="I97" s="15">
        <v>13</v>
      </c>
      <c r="J97" s="15">
        <v>124</v>
      </c>
      <c r="K97" s="15">
        <v>15</v>
      </c>
      <c r="L97" s="15">
        <v>30</v>
      </c>
      <c r="M97" s="15">
        <v>37</v>
      </c>
      <c r="N97">
        <v>306</v>
      </c>
    </row>
  </sheetData>
  <pageMargins left="0.7" right="0.7" top="0.75" bottom="0.75" header="0.3" footer="0.3"/>
  <pageSetup paperSize="9" orientation="portrait" horizontalDpi="0" verticalDpi="0"/>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EAC0B-08CE-8546-ACAB-4F3259E16903}">
  <dimension ref="A2:K21"/>
  <sheetViews>
    <sheetView workbookViewId="0">
      <selection activeCell="K12" sqref="K12"/>
    </sheetView>
  </sheetViews>
  <sheetFormatPr baseColWidth="10" defaultRowHeight="16" x14ac:dyDescent="0.2"/>
  <cols>
    <col min="1" max="2" width="15.83203125" customWidth="1"/>
    <col min="3" max="3" width="21.5" customWidth="1"/>
    <col min="4" max="5" width="15.83203125" customWidth="1"/>
    <col min="6" max="6" width="44" customWidth="1"/>
    <col min="7" max="7" width="15.83203125" customWidth="1"/>
    <col min="8" max="8" width="17.5" bestFit="1" customWidth="1"/>
    <col min="9" max="9" width="17.5" customWidth="1"/>
    <col min="10" max="10" width="20.33203125" bestFit="1" customWidth="1"/>
    <col min="11" max="11" width="15.33203125" bestFit="1" customWidth="1"/>
    <col min="12" max="12" width="17.5" bestFit="1" customWidth="1"/>
    <col min="13" max="13" width="20.33203125" bestFit="1" customWidth="1"/>
    <col min="14" max="14" width="16.5" bestFit="1" customWidth="1"/>
    <col min="15" max="15" width="17.5" bestFit="1" customWidth="1"/>
    <col min="16" max="16" width="16.5" bestFit="1" customWidth="1"/>
    <col min="17" max="17" width="8.6640625" bestFit="1" customWidth="1"/>
    <col min="18" max="18" width="11.33203125" bestFit="1" customWidth="1"/>
    <col min="19" max="19" width="20.33203125" bestFit="1" customWidth="1"/>
    <col min="20" max="20" width="11" bestFit="1" customWidth="1"/>
    <col min="21" max="21" width="11.33203125" bestFit="1" customWidth="1"/>
    <col min="22" max="22" width="13.6640625" bestFit="1" customWidth="1"/>
    <col min="23" max="23" width="18" bestFit="1" customWidth="1"/>
    <col min="24" max="24" width="11.33203125" bestFit="1" customWidth="1"/>
    <col min="25" max="25" width="20.6640625" bestFit="1" customWidth="1"/>
    <col min="26" max="26" width="9.83203125" bestFit="1" customWidth="1"/>
    <col min="27" max="27" width="11.33203125" bestFit="1" customWidth="1"/>
    <col min="28" max="28" width="12.5" bestFit="1" customWidth="1"/>
    <col min="29" max="29" width="8.6640625" bestFit="1" customWidth="1"/>
    <col min="30" max="30" width="11.33203125" bestFit="1" customWidth="1"/>
    <col min="31" max="31" width="10.1640625" bestFit="1" customWidth="1"/>
    <col min="32" max="32" width="15.83203125" bestFit="1" customWidth="1"/>
    <col min="33" max="33" width="11.33203125" bestFit="1" customWidth="1"/>
    <col min="34" max="34" width="18.6640625" bestFit="1" customWidth="1"/>
    <col min="35" max="35" width="21" bestFit="1" customWidth="1"/>
    <col min="36" max="36" width="11.33203125" bestFit="1" customWidth="1"/>
    <col min="37" max="37" width="23.83203125" bestFit="1" customWidth="1"/>
    <col min="38" max="38" width="21" bestFit="1" customWidth="1"/>
    <col min="39" max="39" width="11.33203125" bestFit="1" customWidth="1"/>
    <col min="40" max="40" width="23.83203125" bestFit="1" customWidth="1"/>
    <col min="41" max="41" width="15.5" bestFit="1" customWidth="1"/>
    <col min="42" max="42" width="18.33203125" bestFit="1" customWidth="1"/>
    <col min="43" max="43" width="8.6640625" bestFit="1" customWidth="1"/>
    <col min="44" max="44" width="11.33203125" bestFit="1" customWidth="1"/>
    <col min="45" max="45" width="16" bestFit="1" customWidth="1"/>
    <col min="46" max="46" width="17.5" bestFit="1" customWidth="1"/>
    <col min="47" max="47" width="20.33203125" bestFit="1" customWidth="1"/>
    <col min="48" max="48" width="15.33203125" bestFit="1" customWidth="1"/>
    <col min="49" max="49" width="17.5" bestFit="1" customWidth="1"/>
    <col min="50" max="50" width="20.33203125" bestFit="1" customWidth="1"/>
    <col min="51" max="51" width="16.5" bestFit="1" customWidth="1"/>
    <col min="52" max="52" width="17.5" bestFit="1" customWidth="1"/>
    <col min="53" max="53" width="16.5" bestFit="1" customWidth="1"/>
    <col min="54" max="54" width="8.6640625" bestFit="1" customWidth="1"/>
    <col min="55" max="55" width="11.33203125" bestFit="1" customWidth="1"/>
    <col min="56" max="56" width="20.33203125" bestFit="1" customWidth="1"/>
    <col min="57" max="57" width="11" bestFit="1" customWidth="1"/>
    <col min="58" max="58" width="11.33203125" bestFit="1" customWidth="1"/>
    <col min="59" max="59" width="13.6640625" bestFit="1" customWidth="1"/>
    <col min="60" max="60" width="18" bestFit="1" customWidth="1"/>
    <col min="61" max="61" width="11.33203125" bestFit="1" customWidth="1"/>
    <col min="62" max="62" width="20.6640625" bestFit="1" customWidth="1"/>
    <col min="63" max="63" width="9.83203125" bestFit="1" customWidth="1"/>
    <col min="64" max="64" width="11.33203125" bestFit="1" customWidth="1"/>
    <col min="65" max="65" width="12.5" bestFit="1" customWidth="1"/>
    <col min="66" max="66" width="8.6640625" bestFit="1" customWidth="1"/>
    <col min="67" max="67" width="11.33203125" bestFit="1" customWidth="1"/>
    <col min="68" max="68" width="10.1640625" bestFit="1" customWidth="1"/>
    <col min="69" max="69" width="15.83203125" bestFit="1" customWidth="1"/>
    <col min="70" max="70" width="11.33203125" bestFit="1" customWidth="1"/>
    <col min="71" max="71" width="18.6640625" bestFit="1" customWidth="1"/>
    <col min="72" max="72" width="21" bestFit="1" customWidth="1"/>
    <col min="73" max="73" width="11.33203125" bestFit="1" customWidth="1"/>
    <col min="74" max="74" width="23.83203125" bestFit="1" customWidth="1"/>
    <col min="75" max="75" width="21" bestFit="1" customWidth="1"/>
    <col min="76" max="76" width="11.33203125" bestFit="1" customWidth="1"/>
    <col min="77" max="77" width="23.83203125" bestFit="1" customWidth="1"/>
    <col min="78" max="78" width="15.5" bestFit="1" customWidth="1"/>
    <col min="79" max="79" width="18.33203125" bestFit="1" customWidth="1"/>
    <col min="80" max="80" width="8.6640625" bestFit="1" customWidth="1"/>
    <col min="81" max="81" width="11.33203125" bestFit="1" customWidth="1"/>
    <col min="82" max="82" width="16" bestFit="1" customWidth="1"/>
    <col min="83" max="83" width="17.5" bestFit="1" customWidth="1"/>
    <col min="84" max="84" width="20.33203125" bestFit="1" customWidth="1"/>
    <col min="85" max="85" width="15.33203125" bestFit="1" customWidth="1"/>
    <col min="86" max="86" width="17.5" bestFit="1" customWidth="1"/>
    <col min="87" max="87" width="20.33203125" bestFit="1" customWidth="1"/>
    <col min="88" max="88" width="16.5" bestFit="1" customWidth="1"/>
    <col min="89" max="89" width="17.5" bestFit="1" customWidth="1"/>
    <col min="90" max="90" width="16.5" bestFit="1" customWidth="1"/>
    <col min="91" max="91" width="8.6640625" bestFit="1" customWidth="1"/>
    <col min="92" max="92" width="11.33203125" bestFit="1" customWidth="1"/>
    <col min="93" max="93" width="20.33203125" bestFit="1" customWidth="1"/>
    <col min="94" max="94" width="11" bestFit="1" customWidth="1"/>
    <col min="95" max="95" width="11.33203125" bestFit="1" customWidth="1"/>
    <col min="96" max="96" width="13.6640625" bestFit="1" customWidth="1"/>
    <col min="97" max="97" width="18" bestFit="1" customWidth="1"/>
    <col min="98" max="98" width="11.33203125" bestFit="1" customWidth="1"/>
    <col min="99" max="99" width="20.6640625" bestFit="1" customWidth="1"/>
    <col min="100" max="100" width="9.83203125" bestFit="1" customWidth="1"/>
    <col min="101" max="101" width="11.33203125" bestFit="1" customWidth="1"/>
    <col min="102" max="102" width="12.5" bestFit="1" customWidth="1"/>
    <col min="103" max="103" width="8.6640625" bestFit="1" customWidth="1"/>
    <col min="104" max="104" width="11.33203125" bestFit="1" customWidth="1"/>
    <col min="105" max="105" width="10.1640625" bestFit="1" customWidth="1"/>
    <col min="106" max="106" width="15.83203125" bestFit="1" customWidth="1"/>
    <col min="107" max="107" width="11.33203125" bestFit="1" customWidth="1"/>
    <col min="108" max="108" width="18.6640625" bestFit="1" customWidth="1"/>
    <col min="109" max="109" width="21" bestFit="1" customWidth="1"/>
    <col min="110" max="110" width="11.33203125" bestFit="1" customWidth="1"/>
    <col min="111" max="114" width="23.83203125" bestFit="1" customWidth="1"/>
    <col min="115" max="115" width="18.6640625" bestFit="1" customWidth="1"/>
    <col min="116" max="116" width="21.5" bestFit="1" customWidth="1"/>
    <col min="117" max="117" width="8.6640625" bestFit="1" customWidth="1"/>
    <col min="118" max="118" width="11.33203125" bestFit="1" customWidth="1"/>
    <col min="119" max="119" width="19.5" bestFit="1" customWidth="1"/>
    <col min="120" max="120" width="16.6640625" bestFit="1" customWidth="1"/>
    <col min="121" max="121" width="19.5" bestFit="1" customWidth="1"/>
    <col min="122" max="122" width="8.6640625" bestFit="1" customWidth="1"/>
    <col min="123" max="123" width="11.33203125" bestFit="1" customWidth="1"/>
    <col min="124" max="124" width="14.6640625" bestFit="1" customWidth="1"/>
    <col min="125" max="125" width="8.6640625" bestFit="1" customWidth="1"/>
    <col min="126" max="126" width="11.33203125" bestFit="1" customWidth="1"/>
    <col min="127" max="127" width="11.1640625" bestFit="1" customWidth="1"/>
    <col min="128" max="128" width="8.6640625" bestFit="1" customWidth="1"/>
    <col min="129" max="129" width="11.33203125" bestFit="1" customWidth="1"/>
    <col min="130" max="130" width="9.1640625" bestFit="1" customWidth="1"/>
    <col min="131" max="131" width="11" bestFit="1" customWidth="1"/>
    <col min="132" max="132" width="11.33203125" bestFit="1" customWidth="1"/>
    <col min="133" max="133" width="13.6640625" bestFit="1" customWidth="1"/>
    <col min="134" max="134" width="21" bestFit="1" customWidth="1"/>
    <col min="135" max="135" width="23.83203125" bestFit="1" customWidth="1"/>
    <col min="136" max="136" width="8.6640625" bestFit="1" customWidth="1"/>
    <col min="137" max="137" width="11.33203125" bestFit="1" customWidth="1"/>
    <col min="138" max="138" width="11.5" bestFit="1" customWidth="1"/>
    <col min="139" max="139" width="16.6640625" bestFit="1" customWidth="1"/>
    <col min="140" max="140" width="11.33203125" bestFit="1" customWidth="1"/>
    <col min="141" max="141" width="19.5" bestFit="1" customWidth="1"/>
    <col min="142" max="142" width="9.83203125" bestFit="1" customWidth="1"/>
    <col min="143" max="143" width="11.33203125" bestFit="1" customWidth="1"/>
    <col min="144" max="144" width="12.5" bestFit="1" customWidth="1"/>
    <col min="145" max="145" width="8.6640625" bestFit="1" customWidth="1"/>
    <col min="146" max="146" width="11.33203125" bestFit="1" customWidth="1"/>
    <col min="147" max="147" width="10.1640625" bestFit="1" customWidth="1"/>
    <col min="148" max="148" width="15.83203125" bestFit="1" customWidth="1"/>
    <col min="149" max="149" width="11.33203125" bestFit="1" customWidth="1"/>
    <col min="150" max="150" width="18.6640625" bestFit="1" customWidth="1"/>
    <col min="151" max="151" width="21" bestFit="1" customWidth="1"/>
    <col min="152" max="152" width="11.33203125" bestFit="1" customWidth="1"/>
    <col min="153" max="153" width="23.83203125" bestFit="1" customWidth="1"/>
    <col min="154" max="154" width="13" bestFit="1" customWidth="1"/>
    <col min="155" max="155" width="11.33203125" bestFit="1" customWidth="1"/>
    <col min="156" max="156" width="15.6640625" bestFit="1" customWidth="1"/>
    <col min="157" max="157" width="21" bestFit="1" customWidth="1"/>
    <col min="158" max="158" width="11.33203125" bestFit="1" customWidth="1"/>
    <col min="159" max="159" width="23.83203125" bestFit="1" customWidth="1"/>
    <col min="160" max="160" width="15.5" bestFit="1" customWidth="1"/>
    <col min="161" max="161" width="18.33203125" bestFit="1" customWidth="1"/>
    <col min="162" max="162" width="8.6640625" bestFit="1" customWidth="1"/>
    <col min="163" max="163" width="11.33203125" bestFit="1" customWidth="1"/>
    <col min="164" max="164" width="16" bestFit="1" customWidth="1"/>
    <col min="165" max="165" width="17.5" bestFit="1" customWidth="1"/>
    <col min="166" max="166" width="7" bestFit="1" customWidth="1"/>
    <col min="167" max="167" width="20.33203125" bestFit="1" customWidth="1"/>
    <col min="168" max="168" width="8.6640625" bestFit="1" customWidth="1"/>
    <col min="169" max="169" width="11.33203125" bestFit="1" customWidth="1"/>
    <col min="170" max="170" width="15.33203125" bestFit="1" customWidth="1"/>
    <col min="171" max="171" width="17.5" bestFit="1" customWidth="1"/>
    <col min="172" max="172" width="20.33203125" bestFit="1" customWidth="1"/>
    <col min="173" max="173" width="8.6640625" bestFit="1" customWidth="1"/>
    <col min="174" max="174" width="11.33203125" bestFit="1" customWidth="1"/>
    <col min="175" max="175" width="16.5" bestFit="1" customWidth="1"/>
    <col min="176" max="176" width="17.5" bestFit="1" customWidth="1"/>
    <col min="177" max="177" width="16.5" bestFit="1" customWidth="1"/>
    <col min="178" max="178" width="8.6640625" bestFit="1" customWidth="1"/>
    <col min="179" max="179" width="11.33203125" bestFit="1" customWidth="1"/>
    <col min="180" max="180" width="20.33203125" bestFit="1" customWidth="1"/>
    <col min="181" max="181" width="15.5" bestFit="1" customWidth="1"/>
    <col min="182" max="182" width="11.33203125" bestFit="1" customWidth="1"/>
    <col min="183" max="183" width="18.33203125" bestFit="1" customWidth="1"/>
    <col min="184" max="184" width="15.5" bestFit="1" customWidth="1"/>
    <col min="185" max="185" width="11.33203125" bestFit="1" customWidth="1"/>
    <col min="186" max="186" width="18.33203125" bestFit="1" customWidth="1"/>
    <col min="187" max="187" width="11" bestFit="1" customWidth="1"/>
    <col min="188" max="188" width="11.33203125" bestFit="1" customWidth="1"/>
    <col min="189" max="189" width="13.6640625" bestFit="1" customWidth="1"/>
    <col min="190" max="190" width="18" bestFit="1" customWidth="1"/>
    <col min="191" max="191" width="11.33203125" bestFit="1" customWidth="1"/>
    <col min="192" max="192" width="20.6640625" bestFit="1" customWidth="1"/>
    <col min="193" max="193" width="18.6640625" bestFit="1" customWidth="1"/>
    <col min="194" max="194" width="21.5" bestFit="1" customWidth="1"/>
    <col min="195" max="195" width="8.6640625" bestFit="1" customWidth="1"/>
    <col min="196" max="196" width="11.33203125" bestFit="1" customWidth="1"/>
    <col min="197" max="197" width="19.5" bestFit="1" customWidth="1"/>
    <col min="198" max="198" width="16.6640625" bestFit="1" customWidth="1"/>
    <col min="199" max="199" width="19.5" bestFit="1" customWidth="1"/>
    <col min="200" max="200" width="8.6640625" bestFit="1" customWidth="1"/>
    <col min="201" max="201" width="11.33203125" bestFit="1" customWidth="1"/>
    <col min="202" max="202" width="14.6640625" bestFit="1" customWidth="1"/>
    <col min="203" max="203" width="8.6640625" bestFit="1" customWidth="1"/>
    <col min="204" max="204" width="11.33203125" bestFit="1" customWidth="1"/>
    <col min="205" max="205" width="11.1640625" bestFit="1" customWidth="1"/>
    <col min="206" max="206" width="8.6640625" bestFit="1" customWidth="1"/>
    <col min="207" max="207" width="11.33203125" bestFit="1" customWidth="1"/>
    <col min="208" max="208" width="9.1640625" bestFit="1" customWidth="1"/>
    <col min="209" max="209" width="11" bestFit="1" customWidth="1"/>
    <col min="210" max="210" width="11.33203125" bestFit="1" customWidth="1"/>
    <col min="211" max="211" width="13.6640625" bestFit="1" customWidth="1"/>
    <col min="212" max="212" width="21" bestFit="1" customWidth="1"/>
    <col min="213" max="213" width="23.83203125" bestFit="1" customWidth="1"/>
    <col min="214" max="214" width="8.6640625" bestFit="1" customWidth="1"/>
    <col min="215" max="215" width="11.33203125" bestFit="1" customWidth="1"/>
    <col min="216" max="216" width="11.5" bestFit="1" customWidth="1"/>
    <col min="217" max="217" width="16.6640625" bestFit="1" customWidth="1"/>
    <col min="218" max="218" width="11.33203125" bestFit="1" customWidth="1"/>
    <col min="219" max="219" width="19.5" bestFit="1" customWidth="1"/>
    <col min="220" max="220" width="9.83203125" bestFit="1" customWidth="1"/>
    <col min="221" max="221" width="11.33203125" bestFit="1" customWidth="1"/>
    <col min="222" max="222" width="12.5" bestFit="1" customWidth="1"/>
    <col min="223" max="223" width="8.6640625" bestFit="1" customWidth="1"/>
    <col min="224" max="224" width="11.33203125" bestFit="1" customWidth="1"/>
    <col min="225" max="225" width="10.1640625" bestFit="1" customWidth="1"/>
    <col min="226" max="226" width="15.83203125" bestFit="1" customWidth="1"/>
    <col min="227" max="227" width="11.33203125" bestFit="1" customWidth="1"/>
    <col min="228" max="228" width="18.6640625" bestFit="1" customWidth="1"/>
    <col min="229" max="229" width="21" bestFit="1" customWidth="1"/>
    <col min="230" max="230" width="11.33203125" bestFit="1" customWidth="1"/>
    <col min="231" max="231" width="23.83203125" bestFit="1" customWidth="1"/>
    <col min="232" max="232" width="13" bestFit="1" customWidth="1"/>
    <col min="233" max="233" width="11.33203125" bestFit="1" customWidth="1"/>
    <col min="234" max="234" width="15.6640625" bestFit="1" customWidth="1"/>
    <col min="235" max="237" width="23.83203125" bestFit="1" customWidth="1"/>
    <col min="238" max="238" width="11.33203125" bestFit="1" customWidth="1"/>
    <col min="239" max="239" width="9.1640625" bestFit="1" customWidth="1"/>
    <col min="240" max="240" width="11" bestFit="1" customWidth="1"/>
    <col min="241" max="241" width="11.33203125" bestFit="1" customWidth="1"/>
    <col min="242" max="242" width="13.6640625" bestFit="1" customWidth="1"/>
    <col min="243" max="243" width="9.83203125" bestFit="1" customWidth="1"/>
    <col min="244" max="244" width="11.33203125" bestFit="1" customWidth="1"/>
    <col min="245" max="245" width="12.5" bestFit="1" customWidth="1"/>
    <col min="246" max="246" width="21" bestFit="1" customWidth="1"/>
    <col min="247" max="247" width="11.33203125" bestFit="1" customWidth="1"/>
    <col min="248" max="248" width="23.83203125" bestFit="1" customWidth="1"/>
    <col min="249" max="249" width="13.33203125" bestFit="1" customWidth="1"/>
    <col min="250" max="250" width="11.33203125" bestFit="1" customWidth="1"/>
    <col min="251" max="251" width="16" bestFit="1" customWidth="1"/>
    <col min="252" max="252" width="15.5" bestFit="1" customWidth="1"/>
    <col min="253" max="253" width="11.33203125" bestFit="1" customWidth="1"/>
    <col min="254" max="254" width="18.33203125" bestFit="1" customWidth="1"/>
    <col min="255" max="255" width="11" bestFit="1" customWidth="1"/>
    <col min="256" max="256" width="11.33203125" bestFit="1" customWidth="1"/>
    <col min="257" max="257" width="13.6640625" bestFit="1" customWidth="1"/>
    <col min="258" max="258" width="18.6640625" bestFit="1" customWidth="1"/>
    <col min="259" max="259" width="21.5" bestFit="1" customWidth="1"/>
    <col min="260" max="260" width="19.5" bestFit="1" customWidth="1"/>
    <col min="261" max="261" width="16.6640625" bestFit="1" customWidth="1"/>
    <col min="262" max="262" width="19.5" bestFit="1" customWidth="1"/>
    <col min="263" max="263" width="14.6640625" bestFit="1" customWidth="1"/>
    <col min="264" max="264" width="8.6640625" bestFit="1" customWidth="1"/>
    <col min="265" max="265" width="11.33203125" bestFit="1" customWidth="1"/>
    <col min="266" max="266" width="9.1640625" bestFit="1" customWidth="1"/>
    <col min="267" max="267" width="11" bestFit="1" customWidth="1"/>
    <col min="268" max="268" width="11.33203125" bestFit="1" customWidth="1"/>
    <col min="269" max="269" width="13.6640625" bestFit="1" customWidth="1"/>
    <col min="270" max="270" width="9.83203125" bestFit="1" customWidth="1"/>
    <col min="271" max="271" width="11.33203125" bestFit="1" customWidth="1"/>
    <col min="272" max="272" width="12.5" bestFit="1" customWidth="1"/>
    <col min="273" max="273" width="21" bestFit="1" customWidth="1"/>
    <col min="274" max="274" width="11.33203125" bestFit="1" customWidth="1"/>
    <col min="275" max="275" width="23.83203125" bestFit="1" customWidth="1"/>
    <col min="276" max="276" width="13.33203125" bestFit="1" customWidth="1"/>
    <col min="277" max="277" width="11.33203125" bestFit="1" customWidth="1"/>
    <col min="278" max="278" width="16" bestFit="1" customWidth="1"/>
    <col min="279" max="279" width="15.5" bestFit="1" customWidth="1"/>
    <col min="280" max="280" width="11.33203125" bestFit="1" customWidth="1"/>
    <col min="281" max="281" width="18.33203125" bestFit="1" customWidth="1"/>
    <col min="282" max="282" width="11" bestFit="1" customWidth="1"/>
    <col min="283" max="283" width="11.33203125" bestFit="1" customWidth="1"/>
    <col min="284" max="284" width="13.6640625" bestFit="1" customWidth="1"/>
    <col min="285" max="285" width="18.6640625" bestFit="1" customWidth="1"/>
    <col min="286" max="286" width="21.5" bestFit="1" customWidth="1"/>
    <col min="287" max="287" width="19.5" bestFit="1" customWidth="1"/>
    <col min="288" max="288" width="16.6640625" bestFit="1" customWidth="1"/>
    <col min="289" max="289" width="19.5" bestFit="1" customWidth="1"/>
    <col min="290" max="290" width="14.6640625" bestFit="1" customWidth="1"/>
    <col min="291" max="291" width="8.6640625" bestFit="1" customWidth="1"/>
    <col min="292" max="292" width="11.33203125" bestFit="1" customWidth="1"/>
    <col min="293" max="293" width="9.1640625" bestFit="1" customWidth="1"/>
    <col min="294" max="294" width="11" bestFit="1" customWidth="1"/>
    <col min="295" max="295" width="11.33203125" bestFit="1" customWidth="1"/>
    <col min="296" max="296" width="13.6640625" bestFit="1" customWidth="1"/>
    <col min="297" max="297" width="9.83203125" bestFit="1" customWidth="1"/>
    <col min="298" max="298" width="11.33203125" bestFit="1" customWidth="1"/>
    <col min="299" max="299" width="12.5" bestFit="1" customWidth="1"/>
    <col min="300" max="302" width="29" bestFit="1" customWidth="1"/>
    <col min="303" max="303" width="19.33203125" bestFit="1" customWidth="1"/>
    <col min="304" max="304" width="11.33203125" bestFit="1" customWidth="1"/>
    <col min="305" max="305" width="16.5" bestFit="1" customWidth="1"/>
    <col min="306" max="306" width="16.6640625" bestFit="1" customWidth="1"/>
    <col min="307" max="307" width="11.33203125" bestFit="1" customWidth="1"/>
    <col min="308" max="308" width="19.5" bestFit="1" customWidth="1"/>
    <col min="309" max="309" width="16.6640625" bestFit="1" customWidth="1"/>
    <col min="310" max="310" width="11.33203125" bestFit="1" customWidth="1"/>
    <col min="311" max="311" width="19.5" bestFit="1" customWidth="1"/>
    <col min="312" max="312" width="19.33203125" bestFit="1" customWidth="1"/>
    <col min="313" max="313" width="11.33203125" bestFit="1" customWidth="1"/>
    <col min="314" max="314" width="16.5" bestFit="1" customWidth="1"/>
    <col min="315" max="315" width="16.6640625" bestFit="1" customWidth="1"/>
    <col min="316" max="316" width="11.33203125" bestFit="1" customWidth="1"/>
    <col min="317" max="317" width="19.5" bestFit="1" customWidth="1"/>
    <col min="318" max="318" width="16.6640625" bestFit="1" customWidth="1"/>
    <col min="319" max="319" width="11.33203125" bestFit="1" customWidth="1"/>
    <col min="320" max="320" width="19.5" bestFit="1" customWidth="1"/>
    <col min="321" max="321" width="19.33203125" bestFit="1" customWidth="1"/>
    <col min="322" max="322" width="11.33203125" bestFit="1" customWidth="1"/>
    <col min="323" max="323" width="16.5" bestFit="1" customWidth="1"/>
    <col min="324" max="324" width="16.6640625" bestFit="1" customWidth="1"/>
    <col min="325" max="325" width="11.33203125" bestFit="1" customWidth="1"/>
    <col min="326" max="326" width="19.5" bestFit="1" customWidth="1"/>
    <col min="327" max="327" width="16.6640625" bestFit="1" customWidth="1"/>
    <col min="328" max="328" width="11.33203125" bestFit="1" customWidth="1"/>
    <col min="329" max="329" width="19.5" bestFit="1" customWidth="1"/>
    <col min="330" max="332" width="36" bestFit="1" customWidth="1"/>
    <col min="333" max="333" width="19.33203125" bestFit="1" customWidth="1"/>
    <col min="334" max="334" width="11.33203125" bestFit="1" customWidth="1"/>
    <col min="335" max="335" width="13.6640625" bestFit="1" customWidth="1"/>
    <col min="336" max="336" width="19.33203125" bestFit="1" customWidth="1"/>
    <col min="337" max="337" width="11.33203125" bestFit="1" customWidth="1"/>
    <col min="338" max="338" width="13.6640625" bestFit="1" customWidth="1"/>
    <col min="339" max="339" width="19.33203125" bestFit="1" customWidth="1"/>
    <col min="340" max="340" width="11.33203125" bestFit="1" customWidth="1"/>
    <col min="341" max="341" width="13.6640625" bestFit="1" customWidth="1"/>
    <col min="342" max="344" width="31.83203125" bestFit="1" customWidth="1"/>
    <col min="345" max="345" width="19.33203125" bestFit="1" customWidth="1"/>
    <col min="346" max="346" width="11.33203125" bestFit="1" customWidth="1"/>
    <col min="347" max="347" width="18.33203125" bestFit="1" customWidth="1"/>
    <col min="348" max="348" width="15.5" bestFit="1" customWidth="1"/>
    <col min="349" max="349" width="11.33203125" bestFit="1" customWidth="1"/>
    <col min="350" max="350" width="18.33203125" bestFit="1" customWidth="1"/>
    <col min="351" max="351" width="19.33203125" bestFit="1" customWidth="1"/>
    <col min="352" max="352" width="11.33203125" bestFit="1" customWidth="1"/>
    <col min="353" max="353" width="18.33203125" bestFit="1" customWidth="1"/>
    <col min="354" max="354" width="15.5" bestFit="1" customWidth="1"/>
    <col min="355" max="355" width="11.33203125" bestFit="1" customWidth="1"/>
    <col min="356" max="356" width="18.33203125" bestFit="1" customWidth="1"/>
    <col min="357" max="357" width="19.33203125" bestFit="1" customWidth="1"/>
    <col min="358" max="358" width="11.33203125" bestFit="1" customWidth="1"/>
    <col min="359" max="359" width="18.33203125" bestFit="1" customWidth="1"/>
    <col min="360" max="360" width="15.5" bestFit="1" customWidth="1"/>
    <col min="361" max="361" width="11.33203125" bestFit="1" customWidth="1"/>
    <col min="362" max="362" width="18.33203125" bestFit="1" customWidth="1"/>
    <col min="363" max="365" width="29" bestFit="1" customWidth="1"/>
    <col min="366" max="366" width="19.33203125" bestFit="1" customWidth="1"/>
    <col min="367" max="367" width="11.33203125" bestFit="1" customWidth="1"/>
    <col min="368" max="368" width="16" bestFit="1" customWidth="1"/>
    <col min="369" max="369" width="8.6640625" bestFit="1" customWidth="1"/>
    <col min="370" max="370" width="11.33203125" bestFit="1" customWidth="1"/>
    <col min="371" max="371" width="10.1640625" bestFit="1" customWidth="1"/>
    <col min="372" max="372" width="19.33203125" bestFit="1" customWidth="1"/>
    <col min="373" max="373" width="11.33203125" bestFit="1" customWidth="1"/>
    <col min="374" max="374" width="16" bestFit="1" customWidth="1"/>
    <col min="375" max="375" width="8.6640625" bestFit="1" customWidth="1"/>
    <col min="376" max="376" width="11.33203125" bestFit="1" customWidth="1"/>
    <col min="377" max="377" width="10.1640625" bestFit="1" customWidth="1"/>
    <col min="378" max="378" width="19.33203125" bestFit="1" customWidth="1"/>
    <col min="379" max="379" width="11.33203125" bestFit="1" customWidth="1"/>
    <col min="380" max="380" width="16" bestFit="1" customWidth="1"/>
    <col min="381" max="381" width="8.6640625" bestFit="1" customWidth="1"/>
    <col min="382" max="382" width="11.33203125" bestFit="1" customWidth="1"/>
    <col min="383" max="383" width="10.1640625" bestFit="1" customWidth="1"/>
    <col min="384" max="386" width="26" bestFit="1" customWidth="1"/>
    <col min="387" max="387" width="19.33203125" bestFit="1" customWidth="1"/>
    <col min="388" max="388" width="11.33203125" bestFit="1" customWidth="1"/>
    <col min="389" max="389" width="10.1640625" bestFit="1" customWidth="1"/>
    <col min="390" max="390" width="19.33203125" bestFit="1" customWidth="1"/>
    <col min="391" max="391" width="11.33203125" bestFit="1" customWidth="1"/>
    <col min="392" max="392" width="10.1640625" bestFit="1" customWidth="1"/>
    <col min="393" max="393" width="19.33203125" bestFit="1" customWidth="1"/>
    <col min="394" max="394" width="11.33203125" bestFit="1" customWidth="1"/>
    <col min="395" max="395" width="10.1640625" bestFit="1" customWidth="1"/>
    <col min="396" max="398" width="25.5" bestFit="1" customWidth="1"/>
    <col min="399" max="399" width="21" bestFit="1" customWidth="1"/>
    <col min="400" max="400" width="23.83203125" bestFit="1" customWidth="1"/>
    <col min="401" max="401" width="8.6640625" bestFit="1" customWidth="1"/>
    <col min="402" max="402" width="11.33203125" bestFit="1" customWidth="1"/>
    <col min="403" max="403" width="11.5" bestFit="1" customWidth="1"/>
    <col min="404" max="404" width="21" bestFit="1" customWidth="1"/>
    <col min="405" max="405" width="23.83203125" bestFit="1" customWidth="1"/>
    <col min="406" max="406" width="8.6640625" bestFit="1" customWidth="1"/>
    <col min="407" max="407" width="11.33203125" bestFit="1" customWidth="1"/>
    <col min="408" max="408" width="11.5" bestFit="1" customWidth="1"/>
    <col min="409" max="409" width="21" bestFit="1" customWidth="1"/>
    <col min="410" max="410" width="23.83203125" bestFit="1" customWidth="1"/>
    <col min="411" max="411" width="8.6640625" bestFit="1" customWidth="1"/>
    <col min="412" max="412" width="11.33203125" bestFit="1" customWidth="1"/>
    <col min="413" max="413" width="11.5" bestFit="1" customWidth="1"/>
    <col min="414" max="416" width="33.6640625" bestFit="1" customWidth="1"/>
    <col min="417" max="417" width="19.33203125" bestFit="1" customWidth="1"/>
    <col min="418" max="418" width="11.33203125" bestFit="1" customWidth="1"/>
    <col min="419" max="419" width="13.6640625" bestFit="1" customWidth="1"/>
    <col min="420" max="420" width="19.33203125" bestFit="1" customWidth="1"/>
    <col min="421" max="421" width="11.33203125" bestFit="1" customWidth="1"/>
    <col min="422" max="422" width="13.6640625" bestFit="1" customWidth="1"/>
    <col min="423" max="423" width="19.33203125" bestFit="1" customWidth="1"/>
    <col min="424" max="424" width="11.33203125" bestFit="1" customWidth="1"/>
    <col min="425" max="425" width="13.6640625" bestFit="1" customWidth="1"/>
    <col min="426" max="428" width="28.6640625" bestFit="1" customWidth="1"/>
    <col min="429" max="429" width="45.83203125" bestFit="1" customWidth="1"/>
    <col min="430" max="430" width="11.33203125" bestFit="1" customWidth="1"/>
    <col min="431" max="431" width="15.33203125" bestFit="1" customWidth="1"/>
    <col min="432" max="432" width="19.33203125" bestFit="1" customWidth="1"/>
    <col min="433" max="433" width="11.33203125" bestFit="1" customWidth="1"/>
    <col min="434" max="434" width="15.33203125" bestFit="1" customWidth="1"/>
    <col min="435" max="435" width="19.33203125" bestFit="1" customWidth="1"/>
    <col min="436" max="436" width="11.33203125" bestFit="1" customWidth="1"/>
    <col min="437" max="437" width="15.33203125" bestFit="1" customWidth="1"/>
    <col min="438" max="440" width="63.1640625" bestFit="1" customWidth="1"/>
    <col min="441" max="441" width="19.33203125" bestFit="1" customWidth="1"/>
    <col min="442" max="442" width="11.33203125" bestFit="1" customWidth="1"/>
    <col min="443" max="443" width="18.33203125" bestFit="1" customWidth="1"/>
    <col min="444" max="444" width="21" bestFit="1" customWidth="1"/>
    <col min="445" max="445" width="11.33203125" bestFit="1" customWidth="1"/>
    <col min="446" max="446" width="23.83203125" bestFit="1" customWidth="1"/>
    <col min="447" max="447" width="19.33203125" bestFit="1" customWidth="1"/>
    <col min="448" max="448" width="11.33203125" bestFit="1" customWidth="1"/>
    <col min="449" max="449" width="18.33203125" bestFit="1" customWidth="1"/>
    <col min="450" max="450" width="21" bestFit="1" customWidth="1"/>
    <col min="451" max="451" width="11.33203125" bestFit="1" customWidth="1"/>
    <col min="452" max="452" width="23.83203125" bestFit="1" customWidth="1"/>
    <col min="453" max="453" width="19.33203125" bestFit="1" customWidth="1"/>
    <col min="454" max="454" width="11.33203125" bestFit="1" customWidth="1"/>
    <col min="455" max="455" width="18.33203125" bestFit="1" customWidth="1"/>
    <col min="456" max="456" width="21" bestFit="1" customWidth="1"/>
    <col min="457" max="457" width="11.33203125" bestFit="1" customWidth="1"/>
    <col min="458" max="458" width="23.83203125" bestFit="1" customWidth="1"/>
    <col min="459" max="461" width="32.5" bestFit="1" customWidth="1"/>
    <col min="462" max="462" width="19.33203125" bestFit="1" customWidth="1"/>
    <col min="463" max="463" width="11.33203125" bestFit="1" customWidth="1"/>
    <col min="464" max="464" width="18.33203125" bestFit="1" customWidth="1"/>
    <col min="465" max="465" width="8.6640625" bestFit="1" customWidth="1"/>
    <col min="466" max="466" width="11.33203125" bestFit="1" customWidth="1"/>
    <col min="467" max="467" width="10.1640625" bestFit="1" customWidth="1"/>
    <col min="468" max="468" width="19.33203125" bestFit="1" customWidth="1"/>
    <col min="469" max="469" width="11.33203125" bestFit="1" customWidth="1"/>
    <col min="470" max="470" width="18.33203125" bestFit="1" customWidth="1"/>
    <col min="471" max="471" width="8.6640625" bestFit="1" customWidth="1"/>
    <col min="472" max="472" width="11.33203125" bestFit="1" customWidth="1"/>
    <col min="473" max="473" width="10.1640625" bestFit="1" customWidth="1"/>
    <col min="474" max="474" width="19.33203125" bestFit="1" customWidth="1"/>
    <col min="475" max="475" width="11.33203125" bestFit="1" customWidth="1"/>
    <col min="476" max="476" width="18.33203125" bestFit="1" customWidth="1"/>
    <col min="477" max="477" width="8.6640625" bestFit="1" customWidth="1"/>
    <col min="478" max="478" width="11.33203125" bestFit="1" customWidth="1"/>
    <col min="479" max="479" width="10.1640625" bestFit="1" customWidth="1"/>
    <col min="480" max="482" width="32.6640625" bestFit="1" customWidth="1"/>
    <col min="483" max="483" width="19.33203125" bestFit="1" customWidth="1"/>
    <col min="484" max="484" width="11.33203125" bestFit="1" customWidth="1"/>
    <col min="485" max="485" width="16.5" bestFit="1" customWidth="1"/>
    <col min="486" max="486" width="19.33203125" bestFit="1" customWidth="1"/>
    <col min="487" max="487" width="11.33203125" bestFit="1" customWidth="1"/>
    <col min="488" max="488" width="16.5" bestFit="1" customWidth="1"/>
    <col min="489" max="489" width="19.33203125" bestFit="1" customWidth="1"/>
    <col min="490" max="490" width="11.33203125" bestFit="1" customWidth="1"/>
    <col min="491" max="491" width="16.5" bestFit="1" customWidth="1"/>
    <col min="492" max="494" width="32" bestFit="1" customWidth="1"/>
    <col min="495" max="495" width="21" bestFit="1" customWidth="1"/>
    <col min="496" max="496" width="11.33203125" bestFit="1" customWidth="1"/>
    <col min="497" max="497" width="23.83203125" bestFit="1" customWidth="1"/>
    <col min="498" max="498" width="13.33203125" bestFit="1" customWidth="1"/>
    <col min="499" max="499" width="11.33203125" bestFit="1" customWidth="1"/>
    <col min="500" max="500" width="16" bestFit="1" customWidth="1"/>
    <col min="501" max="501" width="17.5" bestFit="1" customWidth="1"/>
    <col min="502" max="502" width="20.33203125" bestFit="1" customWidth="1"/>
    <col min="503" max="503" width="15.33203125" bestFit="1" customWidth="1"/>
    <col min="504" max="504" width="15.5" bestFit="1" customWidth="1"/>
    <col min="505" max="505" width="11.33203125" bestFit="1" customWidth="1"/>
    <col min="506" max="506" width="18.33203125" bestFit="1" customWidth="1"/>
    <col min="507" max="507" width="11" bestFit="1" customWidth="1"/>
    <col min="508" max="508" width="11.33203125" bestFit="1" customWidth="1"/>
    <col min="509" max="509" width="13.6640625" bestFit="1" customWidth="1"/>
    <col min="510" max="510" width="8.6640625" bestFit="1" customWidth="1"/>
    <col min="511" max="511" width="11.33203125" bestFit="1" customWidth="1"/>
    <col min="512" max="512" width="10.1640625" bestFit="1" customWidth="1"/>
    <col min="513" max="513" width="21" bestFit="1" customWidth="1"/>
    <col min="514" max="514" width="11.33203125" bestFit="1" customWidth="1"/>
    <col min="515" max="515" width="23.83203125" bestFit="1" customWidth="1"/>
    <col min="516" max="516" width="13.33203125" bestFit="1" customWidth="1"/>
    <col min="517" max="517" width="11.33203125" bestFit="1" customWidth="1"/>
    <col min="518" max="518" width="16" bestFit="1" customWidth="1"/>
    <col min="519" max="519" width="17.5" bestFit="1" customWidth="1"/>
    <col min="520" max="520" width="20.33203125" bestFit="1" customWidth="1"/>
    <col min="521" max="521" width="15.33203125" bestFit="1" customWidth="1"/>
    <col min="522" max="522" width="15.5" bestFit="1" customWidth="1"/>
    <col min="523" max="523" width="11.33203125" bestFit="1" customWidth="1"/>
    <col min="524" max="524" width="18.33203125" bestFit="1" customWidth="1"/>
    <col min="525" max="525" width="11" bestFit="1" customWidth="1"/>
    <col min="526" max="526" width="11.33203125" bestFit="1" customWidth="1"/>
    <col min="527" max="527" width="13.6640625" bestFit="1" customWidth="1"/>
    <col min="528" max="528" width="8.6640625" bestFit="1" customWidth="1"/>
    <col min="529" max="529" width="11.33203125" bestFit="1" customWidth="1"/>
    <col min="530" max="530" width="10.1640625" bestFit="1" customWidth="1"/>
    <col min="531" max="531" width="21" bestFit="1" customWidth="1"/>
    <col min="532" max="532" width="11.33203125" bestFit="1" customWidth="1"/>
    <col min="533" max="533" width="23.83203125" bestFit="1" customWidth="1"/>
    <col min="534" max="534" width="13.33203125" bestFit="1" customWidth="1"/>
    <col min="535" max="535" width="11.33203125" bestFit="1" customWidth="1"/>
    <col min="536" max="536" width="16" bestFit="1" customWidth="1"/>
    <col min="537" max="537" width="17.5" bestFit="1" customWidth="1"/>
    <col min="538" max="538" width="20.33203125" bestFit="1" customWidth="1"/>
    <col min="539" max="539" width="15.33203125" bestFit="1" customWidth="1"/>
    <col min="540" max="540" width="15.5" bestFit="1" customWidth="1"/>
    <col min="541" max="541" width="11.33203125" bestFit="1" customWidth="1"/>
    <col min="542" max="542" width="18.33203125" bestFit="1" customWidth="1"/>
    <col min="543" max="543" width="11" bestFit="1" customWidth="1"/>
    <col min="544" max="544" width="11.33203125" bestFit="1" customWidth="1"/>
    <col min="545" max="545" width="13.6640625" bestFit="1" customWidth="1"/>
    <col min="546" max="546" width="8.6640625" bestFit="1" customWidth="1"/>
    <col min="547" max="547" width="11.33203125" bestFit="1" customWidth="1"/>
    <col min="548" max="548" width="10.1640625" bestFit="1" customWidth="1"/>
    <col min="549" max="551" width="30.33203125" bestFit="1" customWidth="1"/>
    <col min="552" max="552" width="19.33203125" bestFit="1" customWidth="1"/>
    <col min="553" max="553" width="20.33203125" bestFit="1" customWidth="1"/>
    <col min="554" max="554" width="15.33203125" bestFit="1" customWidth="1"/>
    <col min="555" max="555" width="17.5" bestFit="1" customWidth="1"/>
    <col min="556" max="556" width="20.33203125" bestFit="1" customWidth="1"/>
    <col min="557" max="557" width="16.5" bestFit="1" customWidth="1"/>
    <col min="558" max="558" width="15.5" bestFit="1" customWidth="1"/>
    <col min="559" max="559" width="11.33203125" bestFit="1" customWidth="1"/>
    <col min="560" max="560" width="18.33203125" bestFit="1" customWidth="1"/>
    <col min="561" max="561" width="19.33203125" bestFit="1" customWidth="1"/>
    <col min="562" max="562" width="20.33203125" bestFit="1" customWidth="1"/>
    <col min="563" max="563" width="15.33203125" bestFit="1" customWidth="1"/>
    <col min="564" max="564" width="17.5" bestFit="1" customWidth="1"/>
    <col min="565" max="565" width="20.33203125" bestFit="1" customWidth="1"/>
    <col min="566" max="566" width="16.5" bestFit="1" customWidth="1"/>
    <col min="567" max="567" width="15.5" bestFit="1" customWidth="1"/>
    <col min="568" max="568" width="11.33203125" bestFit="1" customWidth="1"/>
    <col min="569" max="569" width="18.33203125" bestFit="1" customWidth="1"/>
    <col min="570" max="570" width="19.33203125" bestFit="1" customWidth="1"/>
    <col min="571" max="571" width="20.33203125" bestFit="1" customWidth="1"/>
    <col min="572" max="572" width="15.33203125" bestFit="1" customWidth="1"/>
    <col min="573" max="573" width="17.5" bestFit="1" customWidth="1"/>
    <col min="574" max="574" width="20.33203125" bestFit="1" customWidth="1"/>
    <col min="575" max="575" width="16.5" bestFit="1" customWidth="1"/>
    <col min="576" max="576" width="15.5" bestFit="1" customWidth="1"/>
    <col min="577" max="577" width="11.33203125" bestFit="1" customWidth="1"/>
    <col min="578" max="578" width="18.33203125" bestFit="1" customWidth="1"/>
    <col min="579" max="581" width="28.6640625" bestFit="1" customWidth="1"/>
    <col min="582" max="582" width="19.33203125" bestFit="1" customWidth="1"/>
    <col min="583" max="583" width="11.33203125" bestFit="1" customWidth="1"/>
    <col min="584" max="584" width="18.33203125" bestFit="1" customWidth="1"/>
    <col min="585" max="585" width="19.33203125" bestFit="1" customWidth="1"/>
    <col min="586" max="586" width="11.33203125" bestFit="1" customWidth="1"/>
    <col min="587" max="587" width="18.33203125" bestFit="1" customWidth="1"/>
    <col min="588" max="588" width="19.33203125" bestFit="1" customWidth="1"/>
    <col min="589" max="589" width="11.33203125" bestFit="1" customWidth="1"/>
    <col min="590" max="590" width="18.33203125" bestFit="1" customWidth="1"/>
    <col min="591" max="593" width="32.5" bestFit="1" customWidth="1"/>
    <col min="594" max="594" width="19.33203125" bestFit="1" customWidth="1"/>
    <col min="595" max="595" width="11.33203125" bestFit="1" customWidth="1"/>
    <col min="596" max="596" width="12.5" bestFit="1" customWidth="1"/>
    <col min="597" max="597" width="19.33203125" bestFit="1" customWidth="1"/>
    <col min="598" max="598" width="11.33203125" bestFit="1" customWidth="1"/>
    <col min="599" max="599" width="12.5" bestFit="1" customWidth="1"/>
    <col min="600" max="600" width="19.33203125" bestFit="1" customWidth="1"/>
    <col min="601" max="601" width="11.33203125" bestFit="1" customWidth="1"/>
    <col min="602" max="602" width="12.5" bestFit="1" customWidth="1"/>
    <col min="603" max="605" width="32.83203125" bestFit="1" customWidth="1"/>
    <col min="606" max="606" width="19.33203125" bestFit="1" customWidth="1"/>
    <col min="607" max="607" width="11.33203125" bestFit="1" customWidth="1"/>
    <col min="608" max="608" width="15.33203125" bestFit="1" customWidth="1"/>
    <col min="609" max="609" width="19.33203125" bestFit="1" customWidth="1"/>
    <col min="610" max="610" width="11.33203125" bestFit="1" customWidth="1"/>
    <col min="611" max="611" width="15.33203125" bestFit="1" customWidth="1"/>
    <col min="612" max="612" width="19.33203125" bestFit="1" customWidth="1"/>
    <col min="613" max="613" width="11.33203125" bestFit="1" customWidth="1"/>
    <col min="614" max="614" width="15.33203125" bestFit="1" customWidth="1"/>
    <col min="615" max="617" width="33.83203125" bestFit="1" customWidth="1"/>
    <col min="618" max="618" width="19.33203125" bestFit="1" customWidth="1"/>
    <col min="619" max="619" width="11.33203125" bestFit="1" customWidth="1"/>
    <col min="620" max="620" width="15.33203125" bestFit="1" customWidth="1"/>
    <col min="621" max="621" width="19.33203125" bestFit="1" customWidth="1"/>
    <col min="622" max="622" width="11.33203125" bestFit="1" customWidth="1"/>
    <col min="623" max="623" width="15.33203125" bestFit="1" customWidth="1"/>
    <col min="624" max="624" width="19.33203125" bestFit="1" customWidth="1"/>
    <col min="625" max="625" width="11.33203125" bestFit="1" customWidth="1"/>
    <col min="626" max="626" width="15.33203125" bestFit="1" customWidth="1"/>
    <col min="627" max="629" width="28.6640625" bestFit="1" customWidth="1"/>
    <col min="630" max="630" width="19.33203125" bestFit="1" customWidth="1"/>
    <col min="631" max="631" width="11.33203125" bestFit="1" customWidth="1"/>
    <col min="632" max="632" width="18.33203125" bestFit="1" customWidth="1"/>
    <col min="633" max="633" width="19.33203125" bestFit="1" customWidth="1"/>
    <col min="634" max="634" width="11.33203125" bestFit="1" customWidth="1"/>
    <col min="635" max="635" width="18.33203125" bestFit="1" customWidth="1"/>
    <col min="636" max="636" width="19.33203125" bestFit="1" customWidth="1"/>
    <col min="637" max="637" width="11.33203125" bestFit="1" customWidth="1"/>
    <col min="638" max="638" width="18.33203125" bestFit="1" customWidth="1"/>
    <col min="639" max="641" width="25.83203125" bestFit="1" customWidth="1"/>
    <col min="642" max="642" width="21" bestFit="1" customWidth="1"/>
    <col min="643" max="643" width="11.33203125" bestFit="1" customWidth="1"/>
    <col min="644" max="644" width="23.83203125" bestFit="1" customWidth="1"/>
    <col min="645" max="645" width="15.5" bestFit="1" customWidth="1"/>
    <col min="646" max="646" width="11.33203125" bestFit="1" customWidth="1"/>
    <col min="647" max="647" width="18.33203125" bestFit="1" customWidth="1"/>
    <col min="648" max="648" width="21" bestFit="1" customWidth="1"/>
    <col min="649" max="649" width="11.33203125" bestFit="1" customWidth="1"/>
    <col min="650" max="650" width="23.83203125" bestFit="1" customWidth="1"/>
    <col min="651" max="651" width="15.5" bestFit="1" customWidth="1"/>
    <col min="652" max="652" width="11.33203125" bestFit="1" customWidth="1"/>
    <col min="653" max="653" width="18.33203125" bestFit="1" customWidth="1"/>
    <col min="654" max="654" width="21" bestFit="1" customWidth="1"/>
    <col min="655" max="655" width="11.33203125" bestFit="1" customWidth="1"/>
    <col min="656" max="656" width="23.83203125" bestFit="1" customWidth="1"/>
    <col min="657" max="657" width="15.5" bestFit="1" customWidth="1"/>
    <col min="658" max="658" width="11.33203125" bestFit="1" customWidth="1"/>
    <col min="659" max="659" width="18.33203125" bestFit="1" customWidth="1"/>
    <col min="660" max="662" width="32.5" bestFit="1" customWidth="1"/>
    <col min="663" max="663" width="19.33203125" bestFit="1" customWidth="1"/>
    <col min="664" max="664" width="11.33203125" bestFit="1" customWidth="1"/>
    <col min="665" max="665" width="16.5" bestFit="1" customWidth="1"/>
    <col min="666" max="666" width="9.83203125" bestFit="1" customWidth="1"/>
    <col min="667" max="667" width="11.33203125" bestFit="1" customWidth="1"/>
    <col min="668" max="668" width="12.5" bestFit="1" customWidth="1"/>
    <col min="669" max="669" width="19.33203125" bestFit="1" customWidth="1"/>
    <col min="670" max="670" width="11.33203125" bestFit="1" customWidth="1"/>
    <col min="671" max="671" width="16.5" bestFit="1" customWidth="1"/>
    <col min="672" max="672" width="9.83203125" bestFit="1" customWidth="1"/>
    <col min="673" max="673" width="11.33203125" bestFit="1" customWidth="1"/>
    <col min="674" max="674" width="12.5" bestFit="1" customWidth="1"/>
    <col min="675" max="675" width="19.33203125" bestFit="1" customWidth="1"/>
    <col min="676" max="676" width="11.33203125" bestFit="1" customWidth="1"/>
    <col min="677" max="677" width="16.5" bestFit="1" customWidth="1"/>
    <col min="678" max="678" width="9.83203125" bestFit="1" customWidth="1"/>
    <col min="679" max="679" width="11.33203125" bestFit="1" customWidth="1"/>
    <col min="680" max="680" width="12.5" bestFit="1" customWidth="1"/>
    <col min="681" max="683" width="31.5" bestFit="1" customWidth="1"/>
    <col min="684" max="684" width="19.33203125" bestFit="1" customWidth="1"/>
    <col min="685" max="685" width="11.33203125" bestFit="1" customWidth="1"/>
    <col min="686" max="686" width="10.1640625" bestFit="1" customWidth="1"/>
    <col min="687" max="687" width="19.33203125" bestFit="1" customWidth="1"/>
    <col min="688" max="688" width="11.33203125" bestFit="1" customWidth="1"/>
    <col min="689" max="689" width="10.1640625" bestFit="1" customWidth="1"/>
    <col min="690" max="690" width="19.33203125" bestFit="1" customWidth="1"/>
    <col min="691" max="691" width="11.33203125" bestFit="1" customWidth="1"/>
    <col min="692" max="692" width="10.1640625" bestFit="1" customWidth="1"/>
    <col min="693" max="695" width="29.5" bestFit="1" customWidth="1"/>
    <col min="696" max="696" width="19.33203125" bestFit="1" customWidth="1"/>
    <col min="697" max="697" width="11.33203125" bestFit="1" customWidth="1"/>
    <col min="698" max="698" width="12.5" bestFit="1" customWidth="1"/>
    <col min="699" max="699" width="19.33203125" bestFit="1" customWidth="1"/>
    <col min="700" max="700" width="11.33203125" bestFit="1" customWidth="1"/>
    <col min="701" max="701" width="12.5" bestFit="1" customWidth="1"/>
    <col min="702" max="702" width="19.33203125" bestFit="1" customWidth="1"/>
    <col min="703" max="703" width="11.33203125" bestFit="1" customWidth="1"/>
    <col min="704" max="704" width="12.5" bestFit="1" customWidth="1"/>
    <col min="705" max="707" width="33.83203125" bestFit="1" customWidth="1"/>
    <col min="708" max="708" width="19.33203125" bestFit="1" customWidth="1"/>
    <col min="709" max="709" width="11.33203125" bestFit="1" customWidth="1"/>
    <col min="710" max="710" width="10.1640625" bestFit="1" customWidth="1"/>
    <col min="711" max="711" width="19.33203125" bestFit="1" customWidth="1"/>
    <col min="712" max="712" width="11.33203125" bestFit="1" customWidth="1"/>
    <col min="713" max="713" width="10.1640625" bestFit="1" customWidth="1"/>
    <col min="714" max="714" width="19.33203125" bestFit="1" customWidth="1"/>
    <col min="715" max="715" width="11.33203125" bestFit="1" customWidth="1"/>
    <col min="716" max="716" width="10.1640625" bestFit="1" customWidth="1"/>
    <col min="717" max="719" width="30.5" bestFit="1" customWidth="1"/>
    <col min="720" max="720" width="21" bestFit="1" customWidth="1"/>
    <col min="721" max="721" width="11.33203125" bestFit="1" customWidth="1"/>
    <col min="722" max="722" width="23.83203125" bestFit="1" customWidth="1"/>
    <col min="723" max="723" width="13.33203125" bestFit="1" customWidth="1"/>
    <col min="724" max="724" width="11.33203125" bestFit="1" customWidth="1"/>
    <col min="725" max="725" width="16" bestFit="1" customWidth="1"/>
    <col min="726" max="726" width="21" bestFit="1" customWidth="1"/>
    <col min="727" max="727" width="11.33203125" bestFit="1" customWidth="1"/>
    <col min="728" max="728" width="23.83203125" bestFit="1" customWidth="1"/>
    <col min="729" max="729" width="13.33203125" bestFit="1" customWidth="1"/>
    <col min="730" max="730" width="11.33203125" bestFit="1" customWidth="1"/>
    <col min="731" max="731" width="16" bestFit="1" customWidth="1"/>
    <col min="732" max="732" width="21" bestFit="1" customWidth="1"/>
    <col min="733" max="733" width="11.33203125" bestFit="1" customWidth="1"/>
    <col min="734" max="734" width="23.83203125" bestFit="1" customWidth="1"/>
    <col min="735" max="735" width="13.33203125" bestFit="1" customWidth="1"/>
    <col min="736" max="736" width="11.33203125" bestFit="1" customWidth="1"/>
    <col min="737" max="737" width="16" bestFit="1" customWidth="1"/>
    <col min="738" max="740" width="28.33203125" bestFit="1" customWidth="1"/>
    <col min="741" max="741" width="19.33203125" bestFit="1" customWidth="1"/>
    <col min="742" max="742" width="11.33203125" bestFit="1" customWidth="1"/>
    <col min="743" max="743" width="15.33203125" bestFit="1" customWidth="1"/>
    <col min="744" max="744" width="15.5" bestFit="1" customWidth="1"/>
    <col min="745" max="745" width="11.33203125" bestFit="1" customWidth="1"/>
    <col min="746" max="746" width="18.33203125" bestFit="1" customWidth="1"/>
    <col min="747" max="747" width="8.6640625" bestFit="1" customWidth="1"/>
    <col min="748" max="748" width="11.33203125" bestFit="1" customWidth="1"/>
    <col min="749" max="749" width="10.1640625" bestFit="1" customWidth="1"/>
    <col min="750" max="750" width="19.33203125" bestFit="1" customWidth="1"/>
    <col min="751" max="751" width="11.33203125" bestFit="1" customWidth="1"/>
    <col min="752" max="752" width="15.33203125" bestFit="1" customWidth="1"/>
    <col min="753" max="753" width="15.5" bestFit="1" customWidth="1"/>
    <col min="754" max="754" width="11.33203125" bestFit="1" customWidth="1"/>
    <col min="755" max="755" width="18.33203125" bestFit="1" customWidth="1"/>
    <col min="756" max="756" width="8.6640625" bestFit="1" customWidth="1"/>
    <col min="757" max="757" width="11.33203125" bestFit="1" customWidth="1"/>
    <col min="758" max="758" width="10.1640625" bestFit="1" customWidth="1"/>
    <col min="759" max="759" width="19.33203125" bestFit="1" customWidth="1"/>
    <col min="760" max="760" width="11.33203125" bestFit="1" customWidth="1"/>
    <col min="761" max="761" width="15.33203125" bestFit="1" customWidth="1"/>
    <col min="762" max="762" width="15.5" bestFit="1" customWidth="1"/>
    <col min="763" max="763" width="11.33203125" bestFit="1" customWidth="1"/>
    <col min="764" max="764" width="18.33203125" bestFit="1" customWidth="1"/>
    <col min="765" max="765" width="8.6640625" bestFit="1" customWidth="1"/>
    <col min="766" max="766" width="11.33203125" bestFit="1" customWidth="1"/>
    <col min="767" max="767" width="10.1640625" bestFit="1" customWidth="1"/>
    <col min="768" max="770" width="31.33203125" bestFit="1" customWidth="1"/>
    <col min="771" max="771" width="19.33203125" bestFit="1" customWidth="1"/>
    <col min="772" max="772" width="11.33203125" bestFit="1" customWidth="1"/>
    <col min="773" max="773" width="18.33203125" bestFit="1" customWidth="1"/>
    <col min="774" max="774" width="19.33203125" bestFit="1" customWidth="1"/>
    <col min="775" max="775" width="11.33203125" bestFit="1" customWidth="1"/>
    <col min="776" max="776" width="18.33203125" bestFit="1" customWidth="1"/>
    <col min="777" max="777" width="19.33203125" bestFit="1" customWidth="1"/>
    <col min="778" max="778" width="11.33203125" bestFit="1" customWidth="1"/>
    <col min="779" max="779" width="18.33203125" bestFit="1" customWidth="1"/>
    <col min="780" max="782" width="28.33203125" bestFit="1" customWidth="1"/>
    <col min="783" max="783" width="19.33203125" bestFit="1" customWidth="1"/>
    <col min="784" max="784" width="11.33203125" bestFit="1" customWidth="1"/>
    <col min="785" max="785" width="18.33203125" bestFit="1" customWidth="1"/>
    <col min="786" max="786" width="19.33203125" bestFit="1" customWidth="1"/>
    <col min="787" max="787" width="11.33203125" bestFit="1" customWidth="1"/>
    <col min="788" max="788" width="18.33203125" bestFit="1" customWidth="1"/>
    <col min="789" max="789" width="19.33203125" bestFit="1" customWidth="1"/>
    <col min="790" max="790" width="11.33203125" bestFit="1" customWidth="1"/>
    <col min="791" max="791" width="18.33203125" bestFit="1" customWidth="1"/>
    <col min="792" max="794" width="26.1640625" bestFit="1" customWidth="1"/>
    <col min="795" max="795" width="19.33203125" bestFit="1" customWidth="1"/>
    <col min="796" max="796" width="11.33203125" bestFit="1" customWidth="1"/>
    <col min="797" max="797" width="18.33203125" bestFit="1" customWidth="1"/>
    <col min="798" max="798" width="19.33203125" bestFit="1" customWidth="1"/>
    <col min="799" max="799" width="11.33203125" bestFit="1" customWidth="1"/>
    <col min="800" max="800" width="18.33203125" bestFit="1" customWidth="1"/>
    <col min="801" max="801" width="19.33203125" bestFit="1" customWidth="1"/>
    <col min="802" max="802" width="11.33203125" bestFit="1" customWidth="1"/>
    <col min="803" max="803" width="18.33203125" bestFit="1" customWidth="1"/>
    <col min="804" max="806" width="28.6640625" bestFit="1" customWidth="1"/>
    <col min="807" max="807" width="19.33203125" bestFit="1" customWidth="1"/>
    <col min="808" max="808" width="11.33203125" bestFit="1" customWidth="1"/>
    <col min="809" max="809" width="13.6640625" bestFit="1" customWidth="1"/>
    <col min="810" max="810" width="19.33203125" bestFit="1" customWidth="1"/>
    <col min="811" max="811" width="11.33203125" bestFit="1" customWidth="1"/>
    <col min="812" max="812" width="13.6640625" bestFit="1" customWidth="1"/>
    <col min="813" max="813" width="19.33203125" bestFit="1" customWidth="1"/>
    <col min="814" max="814" width="11.33203125" bestFit="1" customWidth="1"/>
    <col min="815" max="815" width="13.6640625" bestFit="1" customWidth="1"/>
    <col min="816" max="818" width="32.5" bestFit="1" customWidth="1"/>
    <col min="819" max="819" width="33.5" bestFit="1" customWidth="1"/>
    <col min="820" max="820" width="11.33203125" bestFit="1" customWidth="1"/>
    <col min="821" max="821" width="16" bestFit="1" customWidth="1"/>
    <col min="822" max="822" width="19.33203125" bestFit="1" customWidth="1"/>
    <col min="823" max="823" width="11.33203125" bestFit="1" customWidth="1"/>
    <col min="824" max="824" width="16" bestFit="1" customWidth="1"/>
    <col min="825" max="825" width="19.33203125" bestFit="1" customWidth="1"/>
    <col min="826" max="826" width="11.33203125" bestFit="1" customWidth="1"/>
    <col min="827" max="827" width="16" bestFit="1" customWidth="1"/>
    <col min="828" max="830" width="50.6640625" bestFit="1" customWidth="1"/>
    <col min="831" max="831" width="35.83203125" bestFit="1" customWidth="1"/>
    <col min="832" max="832" width="11.33203125" bestFit="1" customWidth="1"/>
    <col min="833" max="833" width="16" bestFit="1" customWidth="1"/>
    <col min="834" max="834" width="19.33203125" bestFit="1" customWidth="1"/>
    <col min="835" max="835" width="11.33203125" bestFit="1" customWidth="1"/>
    <col min="836" max="836" width="16" bestFit="1" customWidth="1"/>
    <col min="837" max="837" width="19.33203125" bestFit="1" customWidth="1"/>
    <col min="838" max="838" width="11.33203125" bestFit="1" customWidth="1"/>
    <col min="839" max="839" width="16" bestFit="1" customWidth="1"/>
    <col min="840" max="842" width="53.1640625" bestFit="1" customWidth="1"/>
    <col min="843" max="843" width="39.83203125" bestFit="1" customWidth="1"/>
    <col min="844" max="844" width="11.33203125" bestFit="1" customWidth="1"/>
    <col min="845" max="845" width="16" bestFit="1" customWidth="1"/>
    <col min="846" max="846" width="19.33203125" bestFit="1" customWidth="1"/>
    <col min="847" max="847" width="11.33203125" bestFit="1" customWidth="1"/>
    <col min="848" max="848" width="16" bestFit="1" customWidth="1"/>
    <col min="849" max="849" width="19.33203125" bestFit="1" customWidth="1"/>
    <col min="850" max="850" width="11.33203125" bestFit="1" customWidth="1"/>
    <col min="851" max="851" width="16" bestFit="1" customWidth="1"/>
    <col min="852" max="854" width="57" bestFit="1" customWidth="1"/>
    <col min="855" max="855" width="19.33203125" bestFit="1" customWidth="1"/>
    <col min="856" max="856" width="11.33203125" bestFit="1" customWidth="1"/>
    <col min="857" max="857" width="10.1640625" bestFit="1" customWidth="1"/>
    <col min="858" max="858" width="19.33203125" bestFit="1" customWidth="1"/>
    <col min="859" max="859" width="11.33203125" bestFit="1" customWidth="1"/>
    <col min="860" max="860" width="10.1640625" bestFit="1" customWidth="1"/>
    <col min="861" max="861" width="19.33203125" bestFit="1" customWidth="1"/>
    <col min="862" max="862" width="11.33203125" bestFit="1" customWidth="1"/>
    <col min="863" max="863" width="10.1640625" bestFit="1" customWidth="1"/>
    <col min="864" max="866" width="30.1640625" bestFit="1" customWidth="1"/>
    <col min="867" max="867" width="19.33203125" bestFit="1" customWidth="1"/>
    <col min="868" max="868" width="11.33203125" bestFit="1" customWidth="1"/>
    <col min="869" max="869" width="16.5" bestFit="1" customWidth="1"/>
    <col min="870" max="870" width="19.33203125" bestFit="1" customWidth="1"/>
    <col min="871" max="871" width="11.33203125" bestFit="1" customWidth="1"/>
    <col min="872" max="872" width="16.5" bestFit="1" customWidth="1"/>
    <col min="873" max="873" width="19.33203125" bestFit="1" customWidth="1"/>
    <col min="874" max="874" width="11.33203125" bestFit="1" customWidth="1"/>
    <col min="875" max="875" width="16.5" bestFit="1" customWidth="1"/>
    <col min="876" max="878" width="30.5" bestFit="1" customWidth="1"/>
    <col min="879" max="879" width="19.33203125" bestFit="1" customWidth="1"/>
    <col min="880" max="880" width="11.33203125" bestFit="1" customWidth="1"/>
    <col min="881" max="881" width="10.1640625" bestFit="1" customWidth="1"/>
    <col min="882" max="882" width="19.33203125" bestFit="1" customWidth="1"/>
    <col min="883" max="883" width="11.33203125" bestFit="1" customWidth="1"/>
    <col min="884" max="884" width="10.1640625" bestFit="1" customWidth="1"/>
    <col min="885" max="885" width="19.33203125" bestFit="1" customWidth="1"/>
    <col min="886" max="886" width="11.33203125" bestFit="1" customWidth="1"/>
    <col min="887" max="887" width="10.1640625" bestFit="1" customWidth="1"/>
    <col min="888" max="890" width="34" bestFit="1" customWidth="1"/>
    <col min="891" max="891" width="19.33203125" bestFit="1" customWidth="1"/>
    <col min="892" max="892" width="11.33203125" bestFit="1" customWidth="1"/>
    <col min="893" max="893" width="18.33203125" bestFit="1" customWidth="1"/>
    <col min="894" max="894" width="19.33203125" bestFit="1" customWidth="1"/>
    <col min="895" max="895" width="11.33203125" bestFit="1" customWidth="1"/>
    <col min="896" max="896" width="18.33203125" bestFit="1" customWidth="1"/>
    <col min="897" max="897" width="19.33203125" bestFit="1" customWidth="1"/>
    <col min="898" max="898" width="11.33203125" bestFit="1" customWidth="1"/>
    <col min="899" max="899" width="18.33203125" bestFit="1" customWidth="1"/>
    <col min="900" max="902" width="28.83203125" bestFit="1" customWidth="1"/>
    <col min="903" max="903" width="19.33203125" bestFit="1" customWidth="1"/>
    <col min="904" max="904" width="11.33203125" bestFit="1" customWidth="1"/>
    <col min="905" max="905" width="12.5" bestFit="1" customWidth="1"/>
    <col min="906" max="906" width="19.33203125" bestFit="1" customWidth="1"/>
    <col min="907" max="907" width="11.33203125" bestFit="1" customWidth="1"/>
    <col min="908" max="908" width="12.5" bestFit="1" customWidth="1"/>
    <col min="909" max="909" width="19.33203125" bestFit="1" customWidth="1"/>
    <col min="910" max="910" width="11.33203125" bestFit="1" customWidth="1"/>
    <col min="911" max="911" width="12.5" bestFit="1" customWidth="1"/>
    <col min="912" max="914" width="32.33203125" bestFit="1" customWidth="1"/>
    <col min="915" max="915" width="34.33203125" bestFit="1" customWidth="1"/>
    <col min="916" max="916" width="11.33203125" bestFit="1" customWidth="1"/>
    <col min="917" max="917" width="15.33203125" bestFit="1" customWidth="1"/>
    <col min="918" max="918" width="19.33203125" bestFit="1" customWidth="1"/>
    <col min="919" max="919" width="11.33203125" bestFit="1" customWidth="1"/>
    <col min="920" max="920" width="15.33203125" bestFit="1" customWidth="1"/>
    <col min="921" max="921" width="19.33203125" bestFit="1" customWidth="1"/>
    <col min="922" max="922" width="11.33203125" bestFit="1" customWidth="1"/>
    <col min="923" max="923" width="15.33203125" bestFit="1" customWidth="1"/>
    <col min="924" max="926" width="51.5" bestFit="1" customWidth="1"/>
    <col min="927" max="927" width="19.33203125" bestFit="1" customWidth="1"/>
    <col min="928" max="928" width="11.33203125" bestFit="1" customWidth="1"/>
    <col min="929" max="929" width="18.33203125" bestFit="1" customWidth="1"/>
    <col min="930" max="930" width="19.33203125" bestFit="1" customWidth="1"/>
    <col min="931" max="931" width="11.33203125" bestFit="1" customWidth="1"/>
    <col min="932" max="932" width="18.33203125" bestFit="1" customWidth="1"/>
    <col min="933" max="933" width="19.33203125" bestFit="1" customWidth="1"/>
    <col min="934" max="934" width="11.33203125" bestFit="1" customWidth="1"/>
    <col min="935" max="935" width="18.33203125" bestFit="1" customWidth="1"/>
    <col min="936" max="938" width="25.83203125" bestFit="1" customWidth="1"/>
    <col min="939" max="939" width="19.33203125" bestFit="1" customWidth="1"/>
    <col min="940" max="940" width="11.33203125" bestFit="1" customWidth="1"/>
    <col min="941" max="941" width="13.6640625" bestFit="1" customWidth="1"/>
    <col min="942" max="942" width="19.33203125" bestFit="1" customWidth="1"/>
    <col min="943" max="943" width="11.33203125" bestFit="1" customWidth="1"/>
    <col min="944" max="944" width="13.6640625" bestFit="1" customWidth="1"/>
    <col min="945" max="945" width="19.33203125" bestFit="1" customWidth="1"/>
    <col min="946" max="946" width="11.33203125" bestFit="1" customWidth="1"/>
    <col min="947" max="947" width="13.6640625" bestFit="1" customWidth="1"/>
    <col min="948" max="950" width="31.1640625" bestFit="1" customWidth="1"/>
    <col min="951" max="951" width="27.5" bestFit="1" customWidth="1"/>
    <col min="952" max="952" width="11.33203125" bestFit="1" customWidth="1"/>
    <col min="953" max="953" width="18.33203125" bestFit="1" customWidth="1"/>
    <col min="954" max="954" width="19.33203125" bestFit="1" customWidth="1"/>
    <col min="955" max="955" width="11.33203125" bestFit="1" customWidth="1"/>
    <col min="956" max="956" width="18.33203125" bestFit="1" customWidth="1"/>
    <col min="957" max="957" width="19.33203125" bestFit="1" customWidth="1"/>
    <col min="958" max="958" width="11.33203125" bestFit="1" customWidth="1"/>
    <col min="959" max="959" width="18.33203125" bestFit="1" customWidth="1"/>
    <col min="960" max="962" width="45.1640625" bestFit="1" customWidth="1"/>
    <col min="963" max="963" width="19.33203125" bestFit="1" customWidth="1"/>
    <col min="964" max="964" width="11.33203125" bestFit="1" customWidth="1"/>
    <col min="965" max="965" width="18.33203125" bestFit="1" customWidth="1"/>
    <col min="966" max="966" width="19.33203125" bestFit="1" customWidth="1"/>
    <col min="967" max="967" width="11.33203125" bestFit="1" customWidth="1"/>
    <col min="968" max="968" width="18.33203125" bestFit="1" customWidth="1"/>
    <col min="969" max="969" width="19.33203125" bestFit="1" customWidth="1"/>
    <col min="970" max="970" width="11.33203125" bestFit="1" customWidth="1"/>
    <col min="971" max="971" width="18.33203125" bestFit="1" customWidth="1"/>
    <col min="972" max="974" width="29.83203125" bestFit="1" customWidth="1"/>
    <col min="975" max="975" width="19.33203125" bestFit="1" customWidth="1"/>
    <col min="976" max="976" width="11.33203125" bestFit="1" customWidth="1"/>
    <col min="977" max="977" width="13.6640625" bestFit="1" customWidth="1"/>
    <col min="978" max="978" width="19.33203125" bestFit="1" customWidth="1"/>
    <col min="979" max="979" width="11.33203125" bestFit="1" customWidth="1"/>
    <col min="980" max="980" width="13.6640625" bestFit="1" customWidth="1"/>
    <col min="981" max="981" width="19.33203125" bestFit="1" customWidth="1"/>
    <col min="982" max="982" width="11.33203125" bestFit="1" customWidth="1"/>
    <col min="983" max="983" width="13.6640625" bestFit="1" customWidth="1"/>
    <col min="984" max="986" width="25.83203125" bestFit="1" customWidth="1"/>
    <col min="987" max="987" width="19.33203125" bestFit="1" customWidth="1"/>
    <col min="988" max="988" width="11.33203125" bestFit="1" customWidth="1"/>
    <col min="989" max="989" width="16" bestFit="1" customWidth="1"/>
    <col min="990" max="990" width="15.5" bestFit="1" customWidth="1"/>
    <col min="991" max="991" width="11.33203125" bestFit="1" customWidth="1"/>
    <col min="992" max="992" width="18.33203125" bestFit="1" customWidth="1"/>
    <col min="993" max="993" width="19.33203125" bestFit="1" customWidth="1"/>
    <col min="994" max="994" width="11.33203125" bestFit="1" customWidth="1"/>
    <col min="995" max="995" width="16" bestFit="1" customWidth="1"/>
    <col min="996" max="996" width="15.5" bestFit="1" customWidth="1"/>
    <col min="997" max="997" width="11.33203125" bestFit="1" customWidth="1"/>
    <col min="998" max="998" width="18.33203125" bestFit="1" customWidth="1"/>
    <col min="999" max="999" width="19.33203125" bestFit="1" customWidth="1"/>
    <col min="1000" max="1000" width="11.33203125" bestFit="1" customWidth="1"/>
    <col min="1001" max="1001" width="16" bestFit="1" customWidth="1"/>
    <col min="1002" max="1002" width="15.5" bestFit="1" customWidth="1"/>
    <col min="1003" max="1003" width="11.33203125" bestFit="1" customWidth="1"/>
    <col min="1004" max="1004" width="18.33203125" bestFit="1" customWidth="1"/>
    <col min="1005" max="1007" width="31.83203125" bestFit="1" customWidth="1"/>
    <col min="1008" max="1008" width="21" bestFit="1" customWidth="1"/>
    <col min="1009" max="1009" width="11.33203125" bestFit="1" customWidth="1"/>
    <col min="1010" max="1010" width="23.83203125" bestFit="1" customWidth="1"/>
    <col min="1011" max="1011" width="21" bestFit="1" customWidth="1"/>
    <col min="1012" max="1012" width="11.33203125" bestFit="1" customWidth="1"/>
    <col min="1013" max="1013" width="23.83203125" bestFit="1" customWidth="1"/>
    <col min="1014" max="1014" width="21" bestFit="1" customWidth="1"/>
    <col min="1015" max="1015" width="11.33203125" bestFit="1" customWidth="1"/>
    <col min="1016" max="1016" width="23.83203125" bestFit="1" customWidth="1"/>
    <col min="1017" max="1019" width="27.33203125" bestFit="1" customWidth="1"/>
    <col min="1020" max="1020" width="19.33203125" bestFit="1" customWidth="1"/>
    <col min="1021" max="1021" width="11.33203125" bestFit="1" customWidth="1"/>
    <col min="1022" max="1022" width="10.1640625" bestFit="1" customWidth="1"/>
    <col min="1023" max="1023" width="19.33203125" bestFit="1" customWidth="1"/>
    <col min="1024" max="1024" width="11.33203125" bestFit="1" customWidth="1"/>
    <col min="1025" max="1025" width="10.1640625" bestFit="1" customWidth="1"/>
    <col min="1026" max="1026" width="19.33203125" bestFit="1" customWidth="1"/>
    <col min="1027" max="1027" width="11.33203125" bestFit="1" customWidth="1"/>
    <col min="1028" max="1028" width="10.1640625" bestFit="1" customWidth="1"/>
    <col min="1029" max="1031" width="28.1640625" bestFit="1" customWidth="1"/>
    <col min="1032" max="1032" width="19.33203125" bestFit="1" customWidth="1"/>
    <col min="1033" max="1033" width="11.33203125" bestFit="1" customWidth="1"/>
    <col min="1034" max="1034" width="16" bestFit="1" customWidth="1"/>
    <col min="1035" max="1035" width="15.5" bestFit="1" customWidth="1"/>
    <col min="1036" max="1036" width="11.33203125" bestFit="1" customWidth="1"/>
    <col min="1037" max="1037" width="18.33203125" bestFit="1" customWidth="1"/>
    <col min="1038" max="1038" width="12" bestFit="1" customWidth="1"/>
    <col min="1039" max="1039" width="11.33203125" bestFit="1" customWidth="1"/>
    <col min="1040" max="1040" width="14.6640625" bestFit="1" customWidth="1"/>
    <col min="1041" max="1041" width="8.6640625" bestFit="1" customWidth="1"/>
    <col min="1042" max="1042" width="11.33203125" bestFit="1" customWidth="1"/>
    <col min="1043" max="1043" width="11.1640625" bestFit="1" customWidth="1"/>
    <col min="1044" max="1044" width="8.83203125" bestFit="1" customWidth="1"/>
    <col min="1045" max="1045" width="11.33203125" bestFit="1" customWidth="1"/>
    <col min="1046" max="1046" width="11.5" bestFit="1" customWidth="1"/>
    <col min="1047" max="1047" width="8.6640625" bestFit="1" customWidth="1"/>
    <col min="1048" max="1048" width="11.33203125" bestFit="1" customWidth="1"/>
    <col min="1049" max="1049" width="10.1640625" bestFit="1" customWidth="1"/>
    <col min="1050" max="1050" width="21" bestFit="1" customWidth="1"/>
    <col min="1051" max="1051" width="11.33203125" bestFit="1" customWidth="1"/>
    <col min="1052" max="1052" width="23.83203125" bestFit="1" customWidth="1"/>
    <col min="1053" max="1053" width="19.33203125" bestFit="1" customWidth="1"/>
    <col min="1054" max="1054" width="11.33203125" bestFit="1" customWidth="1"/>
    <col min="1055" max="1055" width="16" bestFit="1" customWidth="1"/>
    <col min="1056" max="1056" width="15.5" bestFit="1" customWidth="1"/>
    <col min="1057" max="1057" width="11.33203125" bestFit="1" customWidth="1"/>
    <col min="1058" max="1058" width="18.33203125" bestFit="1" customWidth="1"/>
    <col min="1059" max="1059" width="12" bestFit="1" customWidth="1"/>
    <col min="1060" max="1060" width="11.33203125" bestFit="1" customWidth="1"/>
    <col min="1061" max="1061" width="14.6640625" bestFit="1" customWidth="1"/>
    <col min="1062" max="1062" width="8.6640625" bestFit="1" customWidth="1"/>
    <col min="1063" max="1063" width="11.33203125" bestFit="1" customWidth="1"/>
    <col min="1064" max="1064" width="11.1640625" bestFit="1" customWidth="1"/>
    <col min="1065" max="1065" width="8.83203125" bestFit="1" customWidth="1"/>
    <col min="1066" max="1066" width="11.33203125" bestFit="1" customWidth="1"/>
    <col min="1067" max="1067" width="11.5" bestFit="1" customWidth="1"/>
    <col min="1068" max="1068" width="8.6640625" bestFit="1" customWidth="1"/>
    <col min="1069" max="1069" width="11.33203125" bestFit="1" customWidth="1"/>
    <col min="1070" max="1070" width="10.1640625" bestFit="1" customWidth="1"/>
    <col min="1071" max="1071" width="21" bestFit="1" customWidth="1"/>
    <col min="1072" max="1072" width="11.33203125" bestFit="1" customWidth="1"/>
    <col min="1073" max="1073" width="23.83203125" bestFit="1" customWidth="1"/>
    <col min="1074" max="1074" width="19.33203125" bestFit="1" customWidth="1"/>
    <col min="1075" max="1075" width="11.33203125" bestFit="1" customWidth="1"/>
    <col min="1076" max="1076" width="16" bestFit="1" customWidth="1"/>
    <col min="1077" max="1077" width="15.5" bestFit="1" customWidth="1"/>
    <col min="1078" max="1078" width="11.33203125" bestFit="1" customWidth="1"/>
    <col min="1079" max="1079" width="18.33203125" bestFit="1" customWidth="1"/>
    <col min="1080" max="1080" width="12" bestFit="1" customWidth="1"/>
    <col min="1081" max="1081" width="11.33203125" bestFit="1" customWidth="1"/>
    <col min="1082" max="1082" width="14.6640625" bestFit="1" customWidth="1"/>
    <col min="1083" max="1083" width="8.6640625" bestFit="1" customWidth="1"/>
    <col min="1084" max="1084" width="11.33203125" bestFit="1" customWidth="1"/>
    <col min="1085" max="1085" width="11.1640625" bestFit="1" customWidth="1"/>
    <col min="1086" max="1086" width="8.83203125" bestFit="1" customWidth="1"/>
    <col min="1087" max="1087" width="11.33203125" bestFit="1" customWidth="1"/>
    <col min="1088" max="1088" width="11.5" bestFit="1" customWidth="1"/>
    <col min="1089" max="1089" width="8.6640625" bestFit="1" customWidth="1"/>
    <col min="1090" max="1090" width="11.33203125" bestFit="1" customWidth="1"/>
    <col min="1091" max="1091" width="10.1640625" bestFit="1" customWidth="1"/>
    <col min="1092" max="1092" width="21" bestFit="1" customWidth="1"/>
    <col min="1093" max="1093" width="11.33203125" bestFit="1" customWidth="1"/>
    <col min="1094" max="1094" width="23.83203125" bestFit="1" customWidth="1"/>
    <col min="1095" max="1097" width="30" bestFit="1" customWidth="1"/>
    <col min="1098" max="1098" width="21" bestFit="1" customWidth="1"/>
    <col min="1099" max="1099" width="11.33203125" bestFit="1" customWidth="1"/>
    <col min="1100" max="1100" width="23.83203125" bestFit="1" customWidth="1"/>
    <col min="1101" max="1101" width="21" bestFit="1" customWidth="1"/>
    <col min="1102" max="1102" width="11.33203125" bestFit="1" customWidth="1"/>
    <col min="1103" max="1103" width="23.83203125" bestFit="1" customWidth="1"/>
    <col min="1104" max="1104" width="21" bestFit="1" customWidth="1"/>
    <col min="1105" max="1105" width="11.33203125" bestFit="1" customWidth="1"/>
    <col min="1106" max="1106" width="23.83203125" bestFit="1" customWidth="1"/>
    <col min="1107" max="1109" width="31.1640625" bestFit="1" customWidth="1"/>
    <col min="1110" max="1110" width="21" bestFit="1" customWidth="1"/>
    <col min="1111" max="1111" width="11.33203125" bestFit="1" customWidth="1"/>
    <col min="1112" max="1112" width="23.83203125" bestFit="1" customWidth="1"/>
    <col min="1113" max="1113" width="15.5" bestFit="1" customWidth="1"/>
    <col min="1114" max="1114" width="18.33203125" bestFit="1" customWidth="1"/>
    <col min="1115" max="1115" width="8.6640625" bestFit="1" customWidth="1"/>
    <col min="1116" max="1116" width="11.33203125" bestFit="1" customWidth="1"/>
    <col min="1117" max="1117" width="16" bestFit="1" customWidth="1"/>
    <col min="1118" max="1118" width="17.5" bestFit="1" customWidth="1"/>
    <col min="1119" max="1119" width="20.33203125" bestFit="1" customWidth="1"/>
    <col min="1120" max="1120" width="15.33203125" bestFit="1" customWidth="1"/>
    <col min="1121" max="1121" width="17.5" bestFit="1" customWidth="1"/>
    <col min="1122" max="1122" width="20.33203125" bestFit="1" customWidth="1"/>
    <col min="1123" max="1123" width="16.5" bestFit="1" customWidth="1"/>
    <col min="1124" max="1124" width="17.5" bestFit="1" customWidth="1"/>
    <col min="1125" max="1125" width="16.5" bestFit="1" customWidth="1"/>
    <col min="1126" max="1126" width="8.6640625" bestFit="1" customWidth="1"/>
    <col min="1127" max="1127" width="11.33203125" bestFit="1" customWidth="1"/>
    <col min="1128" max="1128" width="20.33203125" bestFit="1" customWidth="1"/>
    <col min="1129" max="1129" width="11" bestFit="1" customWidth="1"/>
    <col min="1130" max="1130" width="11.33203125" bestFit="1" customWidth="1"/>
    <col min="1131" max="1131" width="13.6640625" bestFit="1" customWidth="1"/>
    <col min="1132" max="1132" width="18" bestFit="1" customWidth="1"/>
    <col min="1133" max="1133" width="11.33203125" bestFit="1" customWidth="1"/>
    <col min="1134" max="1134" width="20.6640625" bestFit="1" customWidth="1"/>
    <col min="1135" max="1135" width="9.83203125" bestFit="1" customWidth="1"/>
    <col min="1136" max="1136" width="11.33203125" bestFit="1" customWidth="1"/>
    <col min="1137" max="1137" width="12.5" bestFit="1" customWidth="1"/>
    <col min="1138" max="1138" width="8.6640625" bestFit="1" customWidth="1"/>
    <col min="1139" max="1139" width="11.33203125" bestFit="1" customWidth="1"/>
    <col min="1140" max="1140" width="10.1640625" bestFit="1" customWidth="1"/>
    <col min="1141" max="1141" width="15.83203125" bestFit="1" customWidth="1"/>
    <col min="1142" max="1142" width="11.33203125" bestFit="1" customWidth="1"/>
    <col min="1143" max="1143" width="18.6640625" bestFit="1" customWidth="1"/>
    <col min="1144" max="1144" width="21" bestFit="1" customWidth="1"/>
    <col min="1145" max="1145" width="11.33203125" bestFit="1" customWidth="1"/>
    <col min="1146" max="1146" width="23.83203125" bestFit="1" customWidth="1"/>
    <col min="1147" max="1147" width="21" bestFit="1" customWidth="1"/>
    <col min="1148" max="1148" width="11.33203125" bestFit="1" customWidth="1"/>
    <col min="1149" max="1149" width="23.83203125" bestFit="1" customWidth="1"/>
    <col min="1150" max="1150" width="15.5" bestFit="1" customWidth="1"/>
    <col min="1151" max="1151" width="18.33203125" bestFit="1" customWidth="1"/>
    <col min="1152" max="1152" width="8.6640625" bestFit="1" customWidth="1"/>
    <col min="1153" max="1153" width="11.33203125" bestFit="1" customWidth="1"/>
    <col min="1154" max="1154" width="16" bestFit="1" customWidth="1"/>
    <col min="1155" max="1155" width="17.5" bestFit="1" customWidth="1"/>
    <col min="1156" max="1156" width="20.33203125" bestFit="1" customWidth="1"/>
    <col min="1157" max="1157" width="15.33203125" bestFit="1" customWidth="1"/>
    <col min="1158" max="1158" width="17.5" bestFit="1" customWidth="1"/>
    <col min="1159" max="1159" width="20.33203125" bestFit="1" customWidth="1"/>
    <col min="1160" max="1160" width="16.5" bestFit="1" customWidth="1"/>
    <col min="1161" max="1161" width="17.5" bestFit="1" customWidth="1"/>
    <col min="1162" max="1162" width="16.5" bestFit="1" customWidth="1"/>
    <col min="1163" max="1163" width="8.6640625" bestFit="1" customWidth="1"/>
    <col min="1164" max="1164" width="11.33203125" bestFit="1" customWidth="1"/>
    <col min="1165" max="1165" width="20.33203125" bestFit="1" customWidth="1"/>
    <col min="1166" max="1166" width="11" bestFit="1" customWidth="1"/>
    <col min="1167" max="1167" width="11.33203125" bestFit="1" customWidth="1"/>
    <col min="1168" max="1168" width="13.6640625" bestFit="1" customWidth="1"/>
    <col min="1169" max="1169" width="18" bestFit="1" customWidth="1"/>
    <col min="1170" max="1170" width="11.33203125" bestFit="1" customWidth="1"/>
    <col min="1171" max="1171" width="20.6640625" bestFit="1" customWidth="1"/>
    <col min="1172" max="1172" width="9.83203125" bestFit="1" customWidth="1"/>
    <col min="1173" max="1173" width="11.33203125" bestFit="1" customWidth="1"/>
    <col min="1174" max="1174" width="12.5" bestFit="1" customWidth="1"/>
    <col min="1175" max="1175" width="8.6640625" bestFit="1" customWidth="1"/>
    <col min="1176" max="1176" width="11.33203125" bestFit="1" customWidth="1"/>
    <col min="1177" max="1177" width="10.1640625" bestFit="1" customWidth="1"/>
    <col min="1178" max="1178" width="15.83203125" bestFit="1" customWidth="1"/>
    <col min="1179" max="1179" width="11.33203125" bestFit="1" customWidth="1"/>
    <col min="1180" max="1180" width="18.6640625" bestFit="1" customWidth="1"/>
    <col min="1181" max="1181" width="21" bestFit="1" customWidth="1"/>
    <col min="1182" max="1182" width="11.33203125" bestFit="1" customWidth="1"/>
    <col min="1183" max="1183" width="23.83203125" bestFit="1" customWidth="1"/>
    <col min="1184" max="1184" width="21" bestFit="1" customWidth="1"/>
    <col min="1185" max="1185" width="11.33203125" bestFit="1" customWidth="1"/>
    <col min="1186" max="1186" width="23.83203125" bestFit="1" customWidth="1"/>
    <col min="1187" max="1187" width="15.5" bestFit="1" customWidth="1"/>
    <col min="1188" max="1188" width="18.33203125" bestFit="1" customWidth="1"/>
    <col min="1189" max="1189" width="8.6640625" bestFit="1" customWidth="1"/>
    <col min="1190" max="1190" width="11.33203125" bestFit="1" customWidth="1"/>
    <col min="1191" max="1191" width="16" bestFit="1" customWidth="1"/>
    <col min="1192" max="1192" width="17.5" bestFit="1" customWidth="1"/>
    <col min="1193" max="1193" width="20.33203125" bestFit="1" customWidth="1"/>
    <col min="1194" max="1194" width="15.33203125" bestFit="1" customWidth="1"/>
    <col min="1195" max="1195" width="17.5" bestFit="1" customWidth="1"/>
    <col min="1196" max="1196" width="20.33203125" bestFit="1" customWidth="1"/>
    <col min="1197" max="1197" width="16.5" bestFit="1" customWidth="1"/>
    <col min="1198" max="1198" width="17.5" bestFit="1" customWidth="1"/>
    <col min="1199" max="1199" width="16.5" bestFit="1" customWidth="1"/>
    <col min="1200" max="1200" width="8.6640625" bestFit="1" customWidth="1"/>
    <col min="1201" max="1201" width="11.33203125" bestFit="1" customWidth="1"/>
    <col min="1202" max="1202" width="20.33203125" bestFit="1" customWidth="1"/>
    <col min="1203" max="1203" width="11" bestFit="1" customWidth="1"/>
    <col min="1204" max="1204" width="11.33203125" bestFit="1" customWidth="1"/>
    <col min="1205" max="1205" width="13.6640625" bestFit="1" customWidth="1"/>
    <col min="1206" max="1206" width="18" bestFit="1" customWidth="1"/>
    <col min="1207" max="1207" width="11.33203125" bestFit="1" customWidth="1"/>
    <col min="1208" max="1208" width="20.6640625" bestFit="1" customWidth="1"/>
    <col min="1209" max="1209" width="9.83203125" bestFit="1" customWidth="1"/>
    <col min="1210" max="1210" width="11.33203125" bestFit="1" customWidth="1"/>
    <col min="1211" max="1211" width="12.5" bestFit="1" customWidth="1"/>
    <col min="1212" max="1212" width="8.6640625" bestFit="1" customWidth="1"/>
    <col min="1213" max="1213" width="11.33203125" bestFit="1" customWidth="1"/>
    <col min="1214" max="1214" width="10.1640625" bestFit="1" customWidth="1"/>
    <col min="1215" max="1215" width="15.83203125" bestFit="1" customWidth="1"/>
    <col min="1216" max="1216" width="11.33203125" bestFit="1" customWidth="1"/>
    <col min="1217" max="1217" width="18.6640625" bestFit="1" customWidth="1"/>
    <col min="1218" max="1218" width="21" bestFit="1" customWidth="1"/>
    <col min="1219" max="1219" width="11.33203125" bestFit="1" customWidth="1"/>
    <col min="1220" max="1220" width="23.83203125" bestFit="1" customWidth="1"/>
    <col min="1221" max="1223" width="30.1640625" bestFit="1" customWidth="1"/>
    <col min="1224" max="1224" width="29.1640625" bestFit="1" customWidth="1"/>
    <col min="1225" max="1225" width="11.33203125" bestFit="1" customWidth="1"/>
    <col min="1226" max="1226" width="23.83203125" bestFit="1" customWidth="1"/>
    <col min="1227" max="1227" width="11" bestFit="1" customWidth="1"/>
    <col min="1228" max="1228" width="11.33203125" bestFit="1" customWidth="1"/>
    <col min="1229" max="1229" width="13.6640625" bestFit="1" customWidth="1"/>
    <col min="1230" max="1230" width="16.6640625" bestFit="1" customWidth="1"/>
    <col min="1231" max="1231" width="11.33203125" bestFit="1" customWidth="1"/>
    <col min="1232" max="1232" width="19.5" bestFit="1" customWidth="1"/>
    <col min="1233" max="1233" width="16.6640625" bestFit="1" customWidth="1"/>
    <col min="1234" max="1234" width="11.33203125" bestFit="1" customWidth="1"/>
    <col min="1235" max="1235" width="19.5" bestFit="1" customWidth="1"/>
    <col min="1236" max="1236" width="21" bestFit="1" customWidth="1"/>
    <col min="1237" max="1237" width="11.33203125" bestFit="1" customWidth="1"/>
    <col min="1238" max="1238" width="23.83203125" bestFit="1" customWidth="1"/>
    <col min="1239" max="1239" width="11" bestFit="1" customWidth="1"/>
    <col min="1240" max="1240" width="11.33203125" bestFit="1" customWidth="1"/>
    <col min="1241" max="1241" width="13.6640625" bestFit="1" customWidth="1"/>
    <col min="1242" max="1242" width="16.6640625" bestFit="1" customWidth="1"/>
    <col min="1243" max="1243" width="11.33203125" bestFit="1" customWidth="1"/>
    <col min="1244" max="1244" width="19.5" bestFit="1" customWidth="1"/>
    <col min="1245" max="1245" width="16.6640625" bestFit="1" customWidth="1"/>
    <col min="1246" max="1246" width="11.33203125" bestFit="1" customWidth="1"/>
    <col min="1247" max="1247" width="19.5" bestFit="1" customWidth="1"/>
    <col min="1248" max="1248" width="21" bestFit="1" customWidth="1"/>
    <col min="1249" max="1249" width="11.33203125" bestFit="1" customWidth="1"/>
    <col min="1250" max="1250" width="23.83203125" bestFit="1" customWidth="1"/>
    <col min="1251" max="1251" width="11" bestFit="1" customWidth="1"/>
    <col min="1252" max="1252" width="11.33203125" bestFit="1" customWidth="1"/>
    <col min="1253" max="1253" width="13.6640625" bestFit="1" customWidth="1"/>
    <col min="1254" max="1254" width="16.6640625" bestFit="1" customWidth="1"/>
    <col min="1255" max="1255" width="11.33203125" bestFit="1" customWidth="1"/>
    <col min="1256" max="1256" width="19.5" bestFit="1" customWidth="1"/>
    <col min="1257" max="1257" width="16.6640625" bestFit="1" customWidth="1"/>
    <col min="1258" max="1258" width="11.33203125" bestFit="1" customWidth="1"/>
    <col min="1259" max="1259" width="19.5" bestFit="1" customWidth="1"/>
    <col min="1260" max="1262" width="46.33203125" bestFit="1" customWidth="1"/>
    <col min="1263" max="1263" width="19.33203125" bestFit="1" customWidth="1"/>
    <col min="1264" max="1264" width="11.33203125" bestFit="1" customWidth="1"/>
    <col min="1265" max="1265" width="18.33203125" bestFit="1" customWidth="1"/>
    <col min="1266" max="1266" width="19.33203125" bestFit="1" customWidth="1"/>
    <col min="1267" max="1267" width="11.33203125" bestFit="1" customWidth="1"/>
    <col min="1268" max="1268" width="18.33203125" bestFit="1" customWidth="1"/>
    <col min="1269" max="1269" width="19.33203125" bestFit="1" customWidth="1"/>
    <col min="1270" max="1270" width="11.33203125" bestFit="1" customWidth="1"/>
    <col min="1271" max="1271" width="18.33203125" bestFit="1" customWidth="1"/>
    <col min="1272" max="1274" width="33.5" bestFit="1" customWidth="1"/>
    <col min="1275" max="1275" width="21" bestFit="1" customWidth="1"/>
    <col min="1276" max="1276" width="11.33203125" bestFit="1" customWidth="1"/>
    <col min="1277" max="1277" width="23.83203125" bestFit="1" customWidth="1"/>
    <col min="1278" max="1278" width="21" bestFit="1" customWidth="1"/>
    <col min="1279" max="1279" width="11.33203125" bestFit="1" customWidth="1"/>
    <col min="1280" max="1280" width="23.83203125" bestFit="1" customWidth="1"/>
    <col min="1281" max="1281" width="21" bestFit="1" customWidth="1"/>
    <col min="1282" max="1282" width="11.33203125" bestFit="1" customWidth="1"/>
    <col min="1283" max="1283" width="23.83203125" bestFit="1" customWidth="1"/>
    <col min="1284" max="1286" width="31.33203125" bestFit="1" customWidth="1"/>
    <col min="1287" max="1287" width="19.33203125" bestFit="1" customWidth="1"/>
    <col min="1288" max="1288" width="11.33203125" bestFit="1" customWidth="1"/>
    <col min="1289" max="1289" width="12.5" bestFit="1" customWidth="1"/>
    <col min="1290" max="1290" width="19.33203125" bestFit="1" customWidth="1"/>
    <col min="1291" max="1291" width="11.33203125" bestFit="1" customWidth="1"/>
    <col min="1292" max="1292" width="12.5" bestFit="1" customWidth="1"/>
    <col min="1293" max="1293" width="19.33203125" bestFit="1" customWidth="1"/>
    <col min="1294" max="1294" width="11.33203125" bestFit="1" customWidth="1"/>
    <col min="1295" max="1295" width="12.5" bestFit="1" customWidth="1"/>
    <col min="1296" max="1298" width="28.83203125" bestFit="1" customWidth="1"/>
    <col min="1299" max="1299" width="21" bestFit="1" customWidth="1"/>
    <col min="1300" max="1300" width="11.33203125" bestFit="1" customWidth="1"/>
    <col min="1301" max="1301" width="23.83203125" bestFit="1" customWidth="1"/>
    <col min="1302" max="1302" width="13.33203125" bestFit="1" customWidth="1"/>
    <col min="1303" max="1303" width="11.33203125" bestFit="1" customWidth="1"/>
    <col min="1304" max="1304" width="16" bestFit="1" customWidth="1"/>
    <col min="1305" max="1305" width="8.6640625" bestFit="1" customWidth="1"/>
    <col min="1306" max="1306" width="11.33203125" bestFit="1" customWidth="1"/>
    <col min="1307" max="1307" width="10.1640625" bestFit="1" customWidth="1"/>
    <col min="1308" max="1308" width="21" bestFit="1" customWidth="1"/>
    <col min="1309" max="1309" width="11.33203125" bestFit="1" customWidth="1"/>
    <col min="1310" max="1310" width="23.83203125" bestFit="1" customWidth="1"/>
    <col min="1311" max="1311" width="13.33203125" bestFit="1" customWidth="1"/>
    <col min="1312" max="1312" width="11.33203125" bestFit="1" customWidth="1"/>
    <col min="1313" max="1313" width="16" bestFit="1" customWidth="1"/>
    <col min="1314" max="1314" width="8.6640625" bestFit="1" customWidth="1"/>
    <col min="1315" max="1315" width="11.33203125" bestFit="1" customWidth="1"/>
    <col min="1316" max="1316" width="10.1640625" bestFit="1" customWidth="1"/>
    <col min="1317" max="1317" width="21" bestFit="1" customWidth="1"/>
    <col min="1318" max="1318" width="11.33203125" bestFit="1" customWidth="1"/>
    <col min="1319" max="1319" width="23.83203125" bestFit="1" customWidth="1"/>
    <col min="1320" max="1320" width="13.33203125" bestFit="1" customWidth="1"/>
    <col min="1321" max="1321" width="11.33203125" bestFit="1" customWidth="1"/>
    <col min="1322" max="1322" width="16" bestFit="1" customWidth="1"/>
    <col min="1323" max="1323" width="8.6640625" bestFit="1" customWidth="1"/>
    <col min="1324" max="1324" width="11.33203125" bestFit="1" customWidth="1"/>
    <col min="1325" max="1325" width="10.1640625" bestFit="1" customWidth="1"/>
    <col min="1326" max="1328" width="38.1640625" bestFit="1" customWidth="1"/>
    <col min="1329" max="1329" width="19.33203125" bestFit="1" customWidth="1"/>
    <col min="1330" max="1330" width="11.33203125" bestFit="1" customWidth="1"/>
    <col min="1331" max="1331" width="19.5" bestFit="1" customWidth="1"/>
    <col min="1332" max="1332" width="19.33203125" bestFit="1" customWidth="1"/>
    <col min="1333" max="1333" width="11.33203125" bestFit="1" customWidth="1"/>
    <col min="1334" max="1334" width="19.5" bestFit="1" customWidth="1"/>
    <col min="1335" max="1335" width="19.33203125" bestFit="1" customWidth="1"/>
    <col min="1336" max="1336" width="11.33203125" bestFit="1" customWidth="1"/>
    <col min="1337" max="1337" width="19.5" bestFit="1" customWidth="1"/>
    <col min="1338" max="1340" width="26.1640625" bestFit="1" customWidth="1"/>
    <col min="1341" max="1341" width="21" bestFit="1" customWidth="1"/>
    <col min="1342" max="1342" width="11.33203125" bestFit="1" customWidth="1"/>
    <col min="1343" max="1343" width="23.83203125" bestFit="1" customWidth="1"/>
    <col min="1344" max="1344" width="21" bestFit="1" customWidth="1"/>
    <col min="1345" max="1345" width="11.33203125" bestFit="1" customWidth="1"/>
    <col min="1346" max="1346" width="23.83203125" bestFit="1" customWidth="1"/>
    <col min="1347" max="1347" width="21" bestFit="1" customWidth="1"/>
    <col min="1348" max="1348" width="11.33203125" bestFit="1" customWidth="1"/>
    <col min="1349" max="1349" width="23.83203125" bestFit="1" customWidth="1"/>
    <col min="1350" max="1352" width="36.1640625" bestFit="1" customWidth="1"/>
    <col min="1353" max="1353" width="19.33203125" bestFit="1" customWidth="1"/>
    <col min="1354" max="1354" width="11.33203125" bestFit="1" customWidth="1"/>
    <col min="1355" max="1355" width="18.33203125" bestFit="1" customWidth="1"/>
    <col min="1356" max="1356" width="19.33203125" bestFit="1" customWidth="1"/>
    <col min="1357" max="1357" width="11.33203125" bestFit="1" customWidth="1"/>
    <col min="1358" max="1358" width="18.33203125" bestFit="1" customWidth="1"/>
    <col min="1359" max="1359" width="19.33203125" bestFit="1" customWidth="1"/>
    <col min="1360" max="1360" width="11.33203125" bestFit="1" customWidth="1"/>
    <col min="1361" max="1361" width="18.33203125" bestFit="1" customWidth="1"/>
    <col min="1362" max="1364" width="32.83203125" bestFit="1" customWidth="1"/>
    <col min="1365" max="1365" width="32" bestFit="1" customWidth="1"/>
    <col min="1366" max="1366" width="11.33203125" bestFit="1" customWidth="1"/>
    <col min="1367" max="1367" width="12.5" bestFit="1" customWidth="1"/>
    <col min="1368" max="1368" width="19.33203125" bestFit="1" customWidth="1"/>
    <col min="1369" max="1369" width="11.33203125" bestFit="1" customWidth="1"/>
    <col min="1370" max="1370" width="12.5" bestFit="1" customWidth="1"/>
    <col min="1371" max="1371" width="19.33203125" bestFit="1" customWidth="1"/>
    <col min="1372" max="1372" width="11.33203125" bestFit="1" customWidth="1"/>
    <col min="1373" max="1373" width="12.5" bestFit="1" customWidth="1"/>
    <col min="1374" max="1376" width="49.33203125" bestFit="1" customWidth="1"/>
    <col min="1377" max="1377" width="21" bestFit="1" customWidth="1"/>
    <col min="1378" max="1378" width="11.33203125" bestFit="1" customWidth="1"/>
    <col min="1379" max="1379" width="23.83203125" bestFit="1" customWidth="1"/>
    <col min="1380" max="1380" width="13.33203125" bestFit="1" customWidth="1"/>
    <col min="1381" max="1381" width="11.33203125" bestFit="1" customWidth="1"/>
    <col min="1382" max="1382" width="16" bestFit="1" customWidth="1"/>
    <col min="1383" max="1383" width="21" bestFit="1" customWidth="1"/>
    <col min="1384" max="1384" width="11.33203125" bestFit="1" customWidth="1"/>
    <col min="1385" max="1385" width="23.83203125" bestFit="1" customWidth="1"/>
    <col min="1386" max="1386" width="13.33203125" bestFit="1" customWidth="1"/>
    <col min="1387" max="1387" width="11.33203125" bestFit="1" customWidth="1"/>
    <col min="1388" max="1388" width="16" bestFit="1" customWidth="1"/>
    <col min="1389" max="1389" width="21" bestFit="1" customWidth="1"/>
    <col min="1390" max="1390" width="11.33203125" bestFit="1" customWidth="1"/>
    <col min="1391" max="1391" width="23.83203125" bestFit="1" customWidth="1"/>
    <col min="1392" max="1392" width="13.33203125" bestFit="1" customWidth="1"/>
    <col min="1393" max="1393" width="11.33203125" bestFit="1" customWidth="1"/>
    <col min="1394" max="1394" width="16" bestFit="1" customWidth="1"/>
    <col min="1395" max="1397" width="25.33203125" bestFit="1" customWidth="1"/>
    <col min="1398" max="1398" width="19.33203125" bestFit="1" customWidth="1"/>
    <col min="1399" max="1399" width="11.33203125" bestFit="1" customWidth="1"/>
    <col min="1400" max="1400" width="10.1640625" bestFit="1" customWidth="1"/>
    <col min="1401" max="1401" width="19.33203125" bestFit="1" customWidth="1"/>
    <col min="1402" max="1402" width="11.33203125" bestFit="1" customWidth="1"/>
    <col min="1403" max="1403" width="10.1640625" bestFit="1" customWidth="1"/>
    <col min="1404" max="1404" width="19.33203125" bestFit="1" customWidth="1"/>
    <col min="1405" max="1405" width="11.33203125" bestFit="1" customWidth="1"/>
    <col min="1406" max="1406" width="10.1640625" bestFit="1" customWidth="1"/>
    <col min="1407" max="1409" width="27" bestFit="1" customWidth="1"/>
    <col min="1410" max="1410" width="19.33203125" bestFit="1" customWidth="1"/>
    <col min="1411" max="1411" width="11.33203125" bestFit="1" customWidth="1"/>
    <col min="1412" max="1412" width="10.1640625" bestFit="1" customWidth="1"/>
    <col min="1413" max="1413" width="19.33203125" bestFit="1" customWidth="1"/>
    <col min="1414" max="1414" width="11.33203125" bestFit="1" customWidth="1"/>
    <col min="1415" max="1415" width="10.1640625" bestFit="1" customWidth="1"/>
    <col min="1416" max="1416" width="19.33203125" bestFit="1" customWidth="1"/>
    <col min="1417" max="1417" width="11.33203125" bestFit="1" customWidth="1"/>
    <col min="1418" max="1418" width="10.1640625" bestFit="1" customWidth="1"/>
    <col min="1419" max="1421" width="29" bestFit="1" customWidth="1"/>
    <col min="1422" max="1422" width="19.33203125" bestFit="1" customWidth="1"/>
    <col min="1423" max="1423" width="11.33203125" bestFit="1" customWidth="1"/>
    <col min="1424" max="1424" width="16" bestFit="1" customWidth="1"/>
    <col min="1425" max="1425" width="15.5" bestFit="1" customWidth="1"/>
    <col min="1426" max="1426" width="11.33203125" bestFit="1" customWidth="1"/>
    <col min="1427" max="1427" width="18.33203125" bestFit="1" customWidth="1"/>
    <col min="1428" max="1428" width="9.83203125" bestFit="1" customWidth="1"/>
    <col min="1429" max="1429" width="11.33203125" bestFit="1" customWidth="1"/>
    <col min="1430" max="1430" width="12.5" bestFit="1" customWidth="1"/>
    <col min="1431" max="1431" width="19.33203125" bestFit="1" customWidth="1"/>
    <col min="1432" max="1432" width="11.33203125" bestFit="1" customWidth="1"/>
    <col min="1433" max="1433" width="16" bestFit="1" customWidth="1"/>
    <col min="1434" max="1434" width="15.5" bestFit="1" customWidth="1"/>
    <col min="1435" max="1435" width="11.33203125" bestFit="1" customWidth="1"/>
    <col min="1436" max="1436" width="18.33203125" bestFit="1" customWidth="1"/>
    <col min="1437" max="1437" width="9.83203125" bestFit="1" customWidth="1"/>
    <col min="1438" max="1438" width="11.33203125" bestFit="1" customWidth="1"/>
    <col min="1439" max="1439" width="12.5" bestFit="1" customWidth="1"/>
    <col min="1440" max="1440" width="19.33203125" bestFit="1" customWidth="1"/>
    <col min="1441" max="1441" width="11.33203125" bestFit="1" customWidth="1"/>
    <col min="1442" max="1442" width="16" bestFit="1" customWidth="1"/>
    <col min="1443" max="1443" width="15.5" bestFit="1" customWidth="1"/>
    <col min="1444" max="1444" width="11.33203125" bestFit="1" customWidth="1"/>
    <col min="1445" max="1445" width="18.33203125" bestFit="1" customWidth="1"/>
    <col min="1446" max="1446" width="9.83203125" bestFit="1" customWidth="1"/>
    <col min="1447" max="1447" width="11.33203125" bestFit="1" customWidth="1"/>
    <col min="1448" max="1448" width="12.5" bestFit="1" customWidth="1"/>
    <col min="1449" max="1451" width="25" bestFit="1" customWidth="1"/>
    <col min="1452" max="1452" width="19.33203125" bestFit="1" customWidth="1"/>
    <col min="1453" max="1453" width="11.33203125" bestFit="1" customWidth="1"/>
    <col min="1454" max="1454" width="13.6640625" bestFit="1" customWidth="1"/>
    <col min="1455" max="1455" width="19.33203125" bestFit="1" customWidth="1"/>
    <col min="1456" max="1456" width="11.33203125" bestFit="1" customWidth="1"/>
    <col min="1457" max="1457" width="13.6640625" bestFit="1" customWidth="1"/>
    <col min="1458" max="1458" width="19.33203125" bestFit="1" customWidth="1"/>
    <col min="1459" max="1459" width="11.33203125" bestFit="1" customWidth="1"/>
    <col min="1460" max="1460" width="13.6640625" bestFit="1" customWidth="1"/>
    <col min="1461" max="1463" width="28" bestFit="1" customWidth="1"/>
    <col min="1464" max="1464" width="19.33203125" bestFit="1" customWidth="1"/>
    <col min="1465" max="1465" width="11.33203125" bestFit="1" customWidth="1"/>
    <col min="1466" max="1466" width="13.6640625" bestFit="1" customWidth="1"/>
    <col min="1467" max="1467" width="19.33203125" bestFit="1" customWidth="1"/>
    <col min="1468" max="1468" width="11.33203125" bestFit="1" customWidth="1"/>
    <col min="1469" max="1469" width="13.6640625" bestFit="1" customWidth="1"/>
    <col min="1470" max="1470" width="19.33203125" bestFit="1" customWidth="1"/>
    <col min="1471" max="1471" width="11.33203125" bestFit="1" customWidth="1"/>
    <col min="1472" max="1472" width="13.6640625" bestFit="1" customWidth="1"/>
    <col min="1473" max="1475" width="29.5" bestFit="1" customWidth="1"/>
    <col min="1476" max="1476" width="21" bestFit="1" customWidth="1"/>
    <col min="1477" max="1477" width="11.33203125" bestFit="1" customWidth="1"/>
    <col min="1478" max="1478" width="23.83203125" bestFit="1" customWidth="1"/>
    <col min="1479" max="1479" width="15.5" bestFit="1" customWidth="1"/>
    <col min="1480" max="1480" width="11.33203125" bestFit="1" customWidth="1"/>
    <col min="1481" max="1481" width="18.33203125" bestFit="1" customWidth="1"/>
    <col min="1482" max="1482" width="8.6640625" bestFit="1" customWidth="1"/>
    <col min="1483" max="1483" width="11.33203125" bestFit="1" customWidth="1"/>
    <col min="1484" max="1484" width="10.1640625" bestFit="1" customWidth="1"/>
    <col min="1485" max="1485" width="21" bestFit="1" customWidth="1"/>
    <col min="1486" max="1486" width="11.33203125" bestFit="1" customWidth="1"/>
    <col min="1487" max="1487" width="23.83203125" bestFit="1" customWidth="1"/>
    <col min="1488" max="1488" width="15.5" bestFit="1" customWidth="1"/>
    <col min="1489" max="1489" width="11.33203125" bestFit="1" customWidth="1"/>
    <col min="1490" max="1490" width="18.33203125" bestFit="1" customWidth="1"/>
    <col min="1491" max="1491" width="8.6640625" bestFit="1" customWidth="1"/>
    <col min="1492" max="1492" width="11.33203125" bestFit="1" customWidth="1"/>
    <col min="1493" max="1493" width="10.1640625" bestFit="1" customWidth="1"/>
    <col min="1494" max="1494" width="21" bestFit="1" customWidth="1"/>
    <col min="1495" max="1495" width="11.33203125" bestFit="1" customWidth="1"/>
    <col min="1496" max="1496" width="23.83203125" bestFit="1" customWidth="1"/>
    <col min="1497" max="1497" width="15.5" bestFit="1" customWidth="1"/>
    <col min="1498" max="1498" width="11.33203125" bestFit="1" customWidth="1"/>
    <col min="1499" max="1499" width="18.33203125" bestFit="1" customWidth="1"/>
    <col min="1500" max="1500" width="8.6640625" bestFit="1" customWidth="1"/>
    <col min="1501" max="1501" width="11.33203125" bestFit="1" customWidth="1"/>
    <col min="1502" max="1502" width="10.1640625" bestFit="1" customWidth="1"/>
    <col min="1503" max="1505" width="26.33203125" bestFit="1" customWidth="1"/>
    <col min="1506" max="1506" width="19.33203125" bestFit="1" customWidth="1"/>
    <col min="1507" max="1507" width="11.33203125" bestFit="1" customWidth="1"/>
    <col min="1508" max="1508" width="10.1640625" bestFit="1" customWidth="1"/>
    <col min="1509" max="1509" width="19.33203125" bestFit="1" customWidth="1"/>
    <col min="1510" max="1510" width="11.33203125" bestFit="1" customWidth="1"/>
    <col min="1511" max="1511" width="10.1640625" bestFit="1" customWidth="1"/>
    <col min="1512" max="1512" width="19.33203125" bestFit="1" customWidth="1"/>
    <col min="1513" max="1513" width="11.33203125" bestFit="1" customWidth="1"/>
    <col min="1514" max="1514" width="10.1640625" bestFit="1" customWidth="1"/>
    <col min="1515" max="1517" width="31" bestFit="1" customWidth="1"/>
    <col min="1518" max="1518" width="20.1640625" bestFit="1" customWidth="1"/>
    <col min="1519" max="1519" width="11.33203125" bestFit="1" customWidth="1"/>
    <col min="1520" max="1520" width="12.5" bestFit="1" customWidth="1"/>
    <col min="1521" max="1521" width="19.33203125" bestFit="1" customWidth="1"/>
    <col min="1522" max="1522" width="11.33203125" bestFit="1" customWidth="1"/>
    <col min="1523" max="1523" width="12.5" bestFit="1" customWidth="1"/>
    <col min="1524" max="1524" width="19.33203125" bestFit="1" customWidth="1"/>
    <col min="1525" max="1525" width="11.33203125" bestFit="1" customWidth="1"/>
    <col min="1526" max="1526" width="12.5" bestFit="1" customWidth="1"/>
    <col min="1527" max="1529" width="37.5" bestFit="1" customWidth="1"/>
    <col min="1530" max="1530" width="22.5" bestFit="1" customWidth="1"/>
    <col min="1531" max="1531" width="11.33203125" bestFit="1" customWidth="1"/>
    <col min="1532" max="1532" width="18.33203125" bestFit="1" customWidth="1"/>
    <col min="1533" max="1533" width="19.33203125" bestFit="1" customWidth="1"/>
    <col min="1534" max="1534" width="11.33203125" bestFit="1" customWidth="1"/>
    <col min="1535" max="1535" width="18.33203125" bestFit="1" customWidth="1"/>
    <col min="1536" max="1536" width="19.33203125" bestFit="1" customWidth="1"/>
    <col min="1537" max="1537" width="11.33203125" bestFit="1" customWidth="1"/>
    <col min="1538" max="1538" width="18.33203125" bestFit="1" customWidth="1"/>
    <col min="1539" max="1541" width="39.83203125" bestFit="1" customWidth="1"/>
    <col min="1542" max="1542" width="19.33203125" bestFit="1" customWidth="1"/>
    <col min="1543" max="1543" width="11.33203125" bestFit="1" customWidth="1"/>
    <col min="1544" max="1544" width="18.33203125" bestFit="1" customWidth="1"/>
    <col min="1545" max="1545" width="19.33203125" bestFit="1" customWidth="1"/>
    <col min="1546" max="1546" width="11.33203125" bestFit="1" customWidth="1"/>
    <col min="1547" max="1547" width="18.33203125" bestFit="1" customWidth="1"/>
    <col min="1548" max="1548" width="19.33203125" bestFit="1" customWidth="1"/>
    <col min="1549" max="1549" width="11.33203125" bestFit="1" customWidth="1"/>
    <col min="1550" max="1550" width="18.33203125" bestFit="1" customWidth="1"/>
    <col min="1551" max="1553" width="31.33203125" bestFit="1" customWidth="1"/>
    <col min="1554" max="1554" width="19.83203125" bestFit="1" customWidth="1"/>
    <col min="1555" max="1555" width="11.33203125" bestFit="1" customWidth="1"/>
    <col min="1556" max="1556" width="10.1640625" bestFit="1" customWidth="1"/>
    <col min="1557" max="1557" width="19.33203125" bestFit="1" customWidth="1"/>
    <col min="1558" max="1558" width="11.33203125" bestFit="1" customWidth="1"/>
    <col min="1559" max="1559" width="10.1640625" bestFit="1" customWidth="1"/>
    <col min="1560" max="1560" width="19.33203125" bestFit="1" customWidth="1"/>
    <col min="1561" max="1561" width="11.33203125" bestFit="1" customWidth="1"/>
    <col min="1562" max="1562" width="10.1640625" bestFit="1" customWidth="1"/>
    <col min="1563" max="1565" width="37.1640625" bestFit="1" customWidth="1"/>
    <col min="1566" max="1566" width="19.33203125" bestFit="1" customWidth="1"/>
    <col min="1567" max="1567" width="11.33203125" bestFit="1" customWidth="1"/>
    <col min="1568" max="1568" width="10.1640625" bestFit="1" customWidth="1"/>
    <col min="1569" max="1569" width="19.33203125" bestFit="1" customWidth="1"/>
    <col min="1570" max="1570" width="11.33203125" bestFit="1" customWidth="1"/>
    <col min="1571" max="1571" width="10.1640625" bestFit="1" customWidth="1"/>
    <col min="1572" max="1572" width="19.33203125" bestFit="1" customWidth="1"/>
    <col min="1573" max="1573" width="11.33203125" bestFit="1" customWidth="1"/>
    <col min="1574" max="1574" width="10.1640625" bestFit="1" customWidth="1"/>
    <col min="1575" max="1577" width="28.6640625" bestFit="1" customWidth="1"/>
    <col min="1578" max="1578" width="19.33203125" bestFit="1" customWidth="1"/>
    <col min="1579" max="1579" width="11.33203125" bestFit="1" customWidth="1"/>
    <col min="1580" max="1580" width="15.6640625" bestFit="1" customWidth="1"/>
    <col min="1581" max="1581" width="19.33203125" bestFit="1" customWidth="1"/>
    <col min="1582" max="1582" width="11.33203125" bestFit="1" customWidth="1"/>
    <col min="1583" max="1583" width="15.6640625" bestFit="1" customWidth="1"/>
    <col min="1584" max="1584" width="19.33203125" bestFit="1" customWidth="1"/>
    <col min="1585" max="1585" width="11.33203125" bestFit="1" customWidth="1"/>
    <col min="1586" max="1586" width="15.6640625" bestFit="1" customWidth="1"/>
    <col min="1587" max="1589" width="30.6640625" bestFit="1" customWidth="1"/>
    <col min="1590" max="1590" width="21" bestFit="1" customWidth="1"/>
    <col min="1591" max="1591" width="11.33203125" bestFit="1" customWidth="1"/>
    <col min="1592" max="1592" width="23.83203125" bestFit="1" customWidth="1"/>
    <col min="1593" max="1593" width="21" bestFit="1" customWidth="1"/>
    <col min="1594" max="1594" width="11.33203125" bestFit="1" customWidth="1"/>
    <col min="1595" max="1595" width="23.83203125" bestFit="1" customWidth="1"/>
    <col min="1596" max="1596" width="21" bestFit="1" customWidth="1"/>
    <col min="1597" max="1597" width="11.33203125" bestFit="1" customWidth="1"/>
    <col min="1598" max="1598" width="23.83203125" bestFit="1" customWidth="1"/>
    <col min="1599" max="1601" width="32" bestFit="1" customWidth="1"/>
    <col min="1602" max="1602" width="19.33203125" bestFit="1" customWidth="1"/>
    <col min="1603" max="1603" width="11.33203125" bestFit="1" customWidth="1"/>
    <col min="1604" max="1604" width="10.1640625" bestFit="1" customWidth="1"/>
    <col min="1605" max="1605" width="19.33203125" bestFit="1" customWidth="1"/>
    <col min="1606" max="1606" width="11.33203125" bestFit="1" customWidth="1"/>
    <col min="1607" max="1607" width="10.1640625" bestFit="1" customWidth="1"/>
    <col min="1608" max="1608" width="19.33203125" bestFit="1" customWidth="1"/>
    <col min="1609" max="1609" width="11.33203125" bestFit="1" customWidth="1"/>
    <col min="1610" max="1610" width="10.1640625" bestFit="1" customWidth="1"/>
    <col min="1611" max="1613" width="33.5" bestFit="1" customWidth="1"/>
    <col min="1614" max="1616" width="23.83203125" bestFit="1" customWidth="1"/>
  </cols>
  <sheetData>
    <row r="2" spans="1:11" x14ac:dyDescent="0.2">
      <c r="A2" s="58" t="s">
        <v>259</v>
      </c>
    </row>
    <row r="4" spans="1:11" x14ac:dyDescent="0.2">
      <c r="A4" s="11" t="s">
        <v>234</v>
      </c>
      <c r="B4" t="s">
        <v>249</v>
      </c>
      <c r="C4" t="s">
        <v>256</v>
      </c>
    </row>
    <row r="5" spans="1:11" x14ac:dyDescent="0.2">
      <c r="A5" s="49" t="s">
        <v>66</v>
      </c>
      <c r="B5" s="40">
        <v>27</v>
      </c>
      <c r="C5" s="80">
        <v>8.8235294117647065E-2</v>
      </c>
    </row>
    <row r="6" spans="1:11" x14ac:dyDescent="0.2">
      <c r="A6" s="49" t="s">
        <v>3</v>
      </c>
      <c r="B6" s="40">
        <v>27</v>
      </c>
      <c r="C6" s="80">
        <v>8.8235294117647065E-2</v>
      </c>
      <c r="J6" t="s">
        <v>0</v>
      </c>
      <c r="K6">
        <v>56</v>
      </c>
    </row>
    <row r="7" spans="1:11" x14ac:dyDescent="0.2">
      <c r="A7" s="49" t="s">
        <v>247</v>
      </c>
      <c r="B7" s="40">
        <v>41</v>
      </c>
      <c r="C7" s="80">
        <v>0.13398692810457516</v>
      </c>
      <c r="J7" t="s">
        <v>203</v>
      </c>
      <c r="K7">
        <v>155</v>
      </c>
    </row>
    <row r="8" spans="1:11" x14ac:dyDescent="0.2">
      <c r="A8" s="49" t="s">
        <v>0</v>
      </c>
      <c r="B8" s="40">
        <v>56</v>
      </c>
      <c r="C8" s="80">
        <v>0.18300653594771241</v>
      </c>
      <c r="J8" t="s">
        <v>66</v>
      </c>
      <c r="K8">
        <v>27</v>
      </c>
    </row>
    <row r="9" spans="1:11" x14ac:dyDescent="0.2">
      <c r="A9" s="49" t="s">
        <v>203</v>
      </c>
      <c r="B9" s="40">
        <v>155</v>
      </c>
      <c r="C9" s="80">
        <v>0.50653594771241828</v>
      </c>
      <c r="J9" t="s">
        <v>3</v>
      </c>
      <c r="K9">
        <v>27</v>
      </c>
    </row>
    <row r="10" spans="1:11" x14ac:dyDescent="0.2">
      <c r="A10" t="s">
        <v>224</v>
      </c>
      <c r="B10" s="13">
        <v>306</v>
      </c>
      <c r="C10" s="79">
        <v>1</v>
      </c>
      <c r="J10" t="s">
        <v>247</v>
      </c>
      <c r="K10">
        <v>41</v>
      </c>
    </row>
    <row r="11" spans="1:11" x14ac:dyDescent="0.2">
      <c r="K11">
        <f>SUM(K6:K10)</f>
        <v>306</v>
      </c>
    </row>
    <row r="13" spans="1:11" x14ac:dyDescent="0.2">
      <c r="A13" s="58" t="s">
        <v>255</v>
      </c>
    </row>
    <row r="15" spans="1:11" ht="17" x14ac:dyDescent="0.2">
      <c r="A15" s="11" t="s">
        <v>234</v>
      </c>
      <c r="B15" s="11" t="s">
        <v>25</v>
      </c>
      <c r="C15" s="61" t="s">
        <v>256</v>
      </c>
    </row>
    <row r="16" spans="1:11" x14ac:dyDescent="0.2">
      <c r="A16" s="49" t="s">
        <v>247</v>
      </c>
      <c r="C16">
        <v>41</v>
      </c>
    </row>
    <row r="17" spans="1:3" x14ac:dyDescent="0.2">
      <c r="A17" s="49" t="s">
        <v>3</v>
      </c>
      <c r="C17">
        <v>27</v>
      </c>
    </row>
    <row r="18" spans="1:3" x14ac:dyDescent="0.2">
      <c r="A18" s="49" t="s">
        <v>66</v>
      </c>
      <c r="C18">
        <v>27</v>
      </c>
    </row>
    <row r="19" spans="1:3" x14ac:dyDescent="0.2">
      <c r="A19" s="49" t="s">
        <v>203</v>
      </c>
      <c r="C19">
        <v>155</v>
      </c>
    </row>
    <row r="20" spans="1:3" x14ac:dyDescent="0.2">
      <c r="A20" s="49" t="s">
        <v>0</v>
      </c>
      <c r="C20">
        <v>56</v>
      </c>
    </row>
    <row r="21" spans="1:3" x14ac:dyDescent="0.2">
      <c r="A21" t="s">
        <v>224</v>
      </c>
      <c r="C21">
        <v>306</v>
      </c>
    </row>
  </sheetData>
  <sortState xmlns:xlrd2="http://schemas.microsoft.com/office/spreadsheetml/2017/richdata2" ref="J6:K10">
    <sortCondition ref="J6:J10"/>
  </sortState>
  <pageMargins left="0.7" right="0.7" top="0.75" bottom="0.75" header="0.3" footer="0.3"/>
  <pageSetup paperSize="9" orientation="portrait" horizontalDpi="0" verticalDpi="0"/>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E09DB-4616-3441-9001-25CDDFBAB669}">
  <dimension ref="B2:S45"/>
  <sheetViews>
    <sheetView zoomScaleNormal="100" workbookViewId="0">
      <selection activeCell="S39" sqref="S39"/>
    </sheetView>
  </sheetViews>
  <sheetFormatPr baseColWidth="10" defaultRowHeight="16" x14ac:dyDescent="0.2"/>
  <cols>
    <col min="1" max="1" width="3.6640625" customWidth="1"/>
    <col min="2" max="2" width="19" bestFit="1" customWidth="1"/>
    <col min="3" max="3" width="19.33203125" bestFit="1" customWidth="1"/>
    <col min="4" max="4" width="10.83203125" bestFit="1" customWidth="1"/>
    <col min="5" max="5" width="9.33203125" bestFit="1" customWidth="1"/>
    <col min="6" max="6" width="5.83203125" bestFit="1" customWidth="1"/>
    <col min="7" max="7" width="9" bestFit="1" customWidth="1"/>
    <col min="8" max="8" width="10.5" bestFit="1" customWidth="1"/>
    <col min="9" max="10" width="19.33203125" bestFit="1" customWidth="1"/>
    <col min="11" max="11" width="26.5" customWidth="1"/>
    <col min="12" max="13" width="19.33203125" bestFit="1" customWidth="1"/>
    <col min="14" max="16" width="15.83203125" customWidth="1"/>
    <col min="17" max="20" width="19.33203125" bestFit="1" customWidth="1"/>
    <col min="21" max="21" width="10.5" bestFit="1" customWidth="1"/>
    <col min="22" max="22" width="14.6640625" bestFit="1" customWidth="1"/>
    <col min="23" max="23" width="8.83203125" bestFit="1" customWidth="1"/>
    <col min="24" max="24" width="11.1640625" bestFit="1" customWidth="1"/>
    <col min="25" max="25" width="7" bestFit="1" customWidth="1"/>
    <col min="26" max="26" width="9.1640625" bestFit="1" customWidth="1"/>
    <col min="27" max="27" width="11.33203125" bestFit="1" customWidth="1"/>
    <col min="28" max="28" width="13.6640625" bestFit="1" customWidth="1"/>
    <col min="29" max="29" width="9.1640625" bestFit="1" customWidth="1"/>
    <col min="30" max="30" width="11.5" bestFit="1" customWidth="1"/>
    <col min="31" max="31" width="17" bestFit="1" customWidth="1"/>
    <col min="32" max="32" width="19.5" bestFit="1" customWidth="1"/>
    <col min="33" max="33" width="10.1640625" bestFit="1" customWidth="1"/>
    <col min="34" max="34" width="12.5" bestFit="1" customWidth="1"/>
    <col min="35" max="35" width="7.83203125" bestFit="1" customWidth="1"/>
    <col min="36" max="36" width="10.1640625" bestFit="1" customWidth="1"/>
    <col min="37" max="37" width="16.1640625" bestFit="1" customWidth="1"/>
    <col min="38" max="38" width="18.6640625" bestFit="1" customWidth="1"/>
    <col min="39" max="39" width="19" bestFit="1" customWidth="1"/>
    <col min="40" max="40" width="21.5" bestFit="1" customWidth="1"/>
    <col min="41" max="41" width="21.33203125" bestFit="1" customWidth="1"/>
    <col min="42" max="42" width="23.83203125" bestFit="1" customWidth="1"/>
    <col min="43" max="43" width="13.33203125" bestFit="1" customWidth="1"/>
    <col min="44" max="44" width="15.6640625" bestFit="1" customWidth="1"/>
    <col min="45" max="45" width="10.5" bestFit="1" customWidth="1"/>
    <col min="46" max="46" width="9.1640625" bestFit="1" customWidth="1"/>
    <col min="47" max="47" width="11.33203125" bestFit="1" customWidth="1"/>
    <col min="48" max="48" width="11.5" bestFit="1" customWidth="1"/>
    <col min="49" max="49" width="17" bestFit="1" customWidth="1"/>
    <col min="50" max="50" width="11.33203125" bestFit="1" customWidth="1"/>
    <col min="51" max="51" width="19.5" bestFit="1" customWidth="1"/>
    <col min="52" max="52" width="10.1640625" bestFit="1" customWidth="1"/>
    <col min="53" max="53" width="11.33203125" bestFit="1" customWidth="1"/>
    <col min="54" max="54" width="12.5" bestFit="1" customWidth="1"/>
    <col min="55" max="55" width="9" bestFit="1" customWidth="1"/>
    <col min="56" max="56" width="11.33203125" bestFit="1" customWidth="1"/>
    <col min="57" max="57" width="10.1640625" bestFit="1" customWidth="1"/>
    <col min="58" max="58" width="16.1640625" bestFit="1" customWidth="1"/>
    <col min="59" max="59" width="11.33203125" bestFit="1" customWidth="1"/>
    <col min="60" max="60" width="18.6640625" bestFit="1" customWidth="1"/>
    <col min="61" max="61" width="19" bestFit="1" customWidth="1"/>
    <col min="62" max="62" width="11.33203125" bestFit="1" customWidth="1"/>
    <col min="63" max="63" width="21.5" bestFit="1" customWidth="1"/>
    <col min="64" max="64" width="21.33203125" bestFit="1" customWidth="1"/>
    <col min="65" max="65" width="11.33203125" bestFit="1" customWidth="1"/>
    <col min="66" max="66" width="23.83203125" bestFit="1" customWidth="1"/>
    <col min="67" max="67" width="13.33203125" bestFit="1" customWidth="1"/>
    <col min="68" max="68" width="11.33203125" bestFit="1" customWidth="1"/>
    <col min="69" max="69" width="15.6640625" bestFit="1" customWidth="1"/>
    <col min="70" max="71" width="10.5" bestFit="1" customWidth="1"/>
    <col min="72" max="72" width="11.33203125" bestFit="1" customWidth="1"/>
    <col min="73" max="73" width="13.6640625" bestFit="1" customWidth="1"/>
    <col min="74" max="74" width="9.1640625" bestFit="1" customWidth="1"/>
    <col min="75" max="75" width="11.5" bestFit="1" customWidth="1"/>
    <col min="76" max="76" width="17" bestFit="1" customWidth="1"/>
    <col min="77" max="77" width="19.5" bestFit="1" customWidth="1"/>
    <col min="78" max="78" width="10.1640625" bestFit="1" customWidth="1"/>
    <col min="79" max="79" width="12.5" bestFit="1" customWidth="1"/>
    <col min="80" max="80" width="7.83203125" bestFit="1" customWidth="1"/>
    <col min="81" max="81" width="10.1640625" bestFit="1" customWidth="1"/>
    <col min="82" max="82" width="16.1640625" bestFit="1" customWidth="1"/>
    <col min="83" max="83" width="18.6640625" bestFit="1" customWidth="1"/>
    <col min="84" max="84" width="19" bestFit="1" customWidth="1"/>
    <col min="85" max="85" width="21.5" bestFit="1" customWidth="1"/>
    <col min="86" max="86" width="21.33203125" bestFit="1" customWidth="1"/>
    <col min="87" max="87" width="23.83203125" bestFit="1" customWidth="1"/>
    <col min="88" max="88" width="13.33203125" bestFit="1" customWidth="1"/>
    <col min="89" max="89" width="15.6640625" bestFit="1" customWidth="1"/>
    <col min="90" max="91" width="23.83203125" bestFit="1" customWidth="1"/>
  </cols>
  <sheetData>
    <row r="2" spans="2:19" x14ac:dyDescent="0.2">
      <c r="B2" s="58" t="s">
        <v>1205</v>
      </c>
      <c r="N2" s="58" t="s">
        <v>1211</v>
      </c>
    </row>
    <row r="4" spans="2:19" ht="34" x14ac:dyDescent="0.2">
      <c r="B4" s="11" t="s">
        <v>237</v>
      </c>
      <c r="C4" t="s">
        <v>251</v>
      </c>
      <c r="N4" s="36" t="s">
        <v>237</v>
      </c>
      <c r="O4" s="69" t="s">
        <v>1253</v>
      </c>
      <c r="P4" s="66" t="s">
        <v>1252</v>
      </c>
      <c r="R4" s="36" t="s">
        <v>237</v>
      </c>
      <c r="S4" s="69" t="s">
        <v>1298</v>
      </c>
    </row>
    <row r="5" spans="2:19" x14ac:dyDescent="0.2">
      <c r="B5" s="14" t="s">
        <v>135</v>
      </c>
      <c r="C5" s="13">
        <v>46</v>
      </c>
      <c r="N5" s="39" t="s">
        <v>135</v>
      </c>
      <c r="O5" s="40">
        <v>51</v>
      </c>
      <c r="P5" s="67">
        <f>O5/O27</f>
        <v>0.15596330275229359</v>
      </c>
      <c r="R5" s="39" t="s">
        <v>135</v>
      </c>
      <c r="S5" s="40">
        <v>46</v>
      </c>
    </row>
    <row r="6" spans="2:19" x14ac:dyDescent="0.2">
      <c r="B6" s="14" t="s">
        <v>90</v>
      </c>
      <c r="C6" s="13">
        <v>51</v>
      </c>
      <c r="N6" s="39" t="s">
        <v>90</v>
      </c>
      <c r="O6" s="40">
        <v>53</v>
      </c>
      <c r="P6" s="67">
        <f>O6/O27</f>
        <v>0.1620795107033639</v>
      </c>
      <c r="R6" s="39" t="s">
        <v>90</v>
      </c>
      <c r="S6" s="40">
        <v>51</v>
      </c>
    </row>
    <row r="7" spans="2:19" x14ac:dyDescent="0.2">
      <c r="B7" s="14" t="s">
        <v>76</v>
      </c>
      <c r="C7" s="13">
        <v>10</v>
      </c>
      <c r="N7" s="39" t="s">
        <v>76</v>
      </c>
      <c r="O7" s="40">
        <v>10</v>
      </c>
      <c r="P7" s="67">
        <f>O7/O27</f>
        <v>3.0581039755351681E-2</v>
      </c>
      <c r="R7" s="39" t="s">
        <v>37</v>
      </c>
      <c r="S7" s="40">
        <v>22</v>
      </c>
    </row>
    <row r="8" spans="2:19" x14ac:dyDescent="0.2">
      <c r="B8" s="14" t="s">
        <v>82</v>
      </c>
      <c r="C8" s="13">
        <v>7</v>
      </c>
      <c r="N8" s="39" t="s">
        <v>82</v>
      </c>
      <c r="O8" s="40">
        <v>9</v>
      </c>
      <c r="P8" s="67">
        <f>O8/$O$27</f>
        <v>2.7522935779816515E-2</v>
      </c>
      <c r="R8" s="39" t="s">
        <v>51</v>
      </c>
      <c r="S8" s="40">
        <v>36</v>
      </c>
    </row>
    <row r="9" spans="2:19" x14ac:dyDescent="0.2">
      <c r="B9" s="14" t="s">
        <v>205</v>
      </c>
      <c r="C9" s="13">
        <v>36</v>
      </c>
      <c r="N9" s="39" t="s">
        <v>597</v>
      </c>
      <c r="O9" s="40">
        <v>7</v>
      </c>
      <c r="P9" s="67">
        <f t="shared" ref="P9:P26" si="0">O9/$O$27</f>
        <v>2.1406727828746176E-2</v>
      </c>
      <c r="S9">
        <f>SUM(S5:S8)</f>
        <v>155</v>
      </c>
    </row>
    <row r="10" spans="2:19" x14ac:dyDescent="0.2">
      <c r="B10" s="14" t="s">
        <v>89</v>
      </c>
      <c r="C10" s="13">
        <v>12</v>
      </c>
      <c r="N10" s="39" t="s">
        <v>598</v>
      </c>
      <c r="O10" s="40">
        <v>2</v>
      </c>
      <c r="P10" s="67">
        <f t="shared" si="0"/>
        <v>6.1162079510703364E-3</v>
      </c>
    </row>
    <row r="11" spans="2:19" x14ac:dyDescent="0.2">
      <c r="B11" s="14" t="s">
        <v>138</v>
      </c>
      <c r="C11" s="13">
        <v>5</v>
      </c>
      <c r="N11" s="39" t="s">
        <v>205</v>
      </c>
      <c r="O11" s="40">
        <v>36</v>
      </c>
      <c r="P11" s="67">
        <f t="shared" si="0"/>
        <v>0.11009174311926606</v>
      </c>
    </row>
    <row r="12" spans="2:19" x14ac:dyDescent="0.2">
      <c r="B12" s="14" t="s">
        <v>137</v>
      </c>
      <c r="C12" s="13">
        <v>4</v>
      </c>
      <c r="N12" s="39" t="s">
        <v>89</v>
      </c>
      <c r="O12" s="40">
        <v>12</v>
      </c>
      <c r="P12" s="67">
        <f t="shared" si="0"/>
        <v>3.669724770642202E-2</v>
      </c>
    </row>
    <row r="13" spans="2:19" x14ac:dyDescent="0.2">
      <c r="B13" s="14" t="s">
        <v>100</v>
      </c>
      <c r="C13" s="13">
        <v>2</v>
      </c>
      <c r="N13" s="39" t="s">
        <v>138</v>
      </c>
      <c r="O13" s="40">
        <v>5</v>
      </c>
      <c r="P13" s="67">
        <f t="shared" si="0"/>
        <v>1.5290519877675841E-2</v>
      </c>
    </row>
    <row r="14" spans="2:19" x14ac:dyDescent="0.2">
      <c r="B14" s="14" t="s">
        <v>98</v>
      </c>
      <c r="C14" s="13">
        <v>1</v>
      </c>
      <c r="N14" s="39" t="s">
        <v>137</v>
      </c>
      <c r="O14" s="40">
        <v>5</v>
      </c>
      <c r="P14" s="67">
        <f t="shared" si="0"/>
        <v>1.5290519877675841E-2</v>
      </c>
    </row>
    <row r="15" spans="2:19" x14ac:dyDescent="0.2">
      <c r="B15" s="14" t="s">
        <v>207</v>
      </c>
      <c r="C15" s="13">
        <v>2</v>
      </c>
      <c r="N15" s="39" t="s">
        <v>100</v>
      </c>
      <c r="O15" s="40">
        <v>2</v>
      </c>
      <c r="P15" s="67">
        <f t="shared" si="0"/>
        <v>6.1162079510703364E-3</v>
      </c>
    </row>
    <row r="16" spans="2:19" x14ac:dyDescent="0.2">
      <c r="B16" s="14" t="s">
        <v>66</v>
      </c>
      <c r="C16" s="13">
        <v>27</v>
      </c>
      <c r="N16" s="39" t="s">
        <v>98</v>
      </c>
      <c r="O16" s="40">
        <v>1</v>
      </c>
      <c r="P16" s="67">
        <f t="shared" si="0"/>
        <v>3.0581039755351682E-3</v>
      </c>
    </row>
    <row r="17" spans="2:16" x14ac:dyDescent="0.2">
      <c r="B17" s="14" t="s">
        <v>97</v>
      </c>
      <c r="C17" s="13">
        <v>5</v>
      </c>
      <c r="N17" s="39" t="s">
        <v>207</v>
      </c>
      <c r="O17" s="40">
        <v>2</v>
      </c>
      <c r="P17" s="67">
        <f t="shared" si="0"/>
        <v>6.1162079510703364E-3</v>
      </c>
    </row>
    <row r="18" spans="2:16" x14ac:dyDescent="0.2">
      <c r="B18" s="14" t="s">
        <v>37</v>
      </c>
      <c r="C18" s="13">
        <v>22</v>
      </c>
      <c r="N18" s="39" t="s">
        <v>66</v>
      </c>
      <c r="O18" s="40">
        <v>27</v>
      </c>
      <c r="P18" s="67">
        <f t="shared" si="0"/>
        <v>8.2568807339449546E-2</v>
      </c>
    </row>
    <row r="19" spans="2:16" x14ac:dyDescent="0.2">
      <c r="B19" s="14" t="s">
        <v>51</v>
      </c>
      <c r="C19" s="13">
        <v>36</v>
      </c>
      <c r="N19" s="39" t="s">
        <v>97</v>
      </c>
      <c r="O19" s="40">
        <v>7</v>
      </c>
      <c r="P19" s="67">
        <f t="shared" si="0"/>
        <v>2.1406727828746176E-2</v>
      </c>
    </row>
    <row r="20" spans="2:16" x14ac:dyDescent="0.2">
      <c r="B20" s="14" t="s">
        <v>3</v>
      </c>
      <c r="C20" s="13">
        <v>27</v>
      </c>
      <c r="N20" s="39" t="s">
        <v>37</v>
      </c>
      <c r="O20" s="40">
        <v>22</v>
      </c>
      <c r="P20" s="67">
        <f t="shared" si="0"/>
        <v>6.7278287461773695E-2</v>
      </c>
    </row>
    <row r="21" spans="2:16" x14ac:dyDescent="0.2">
      <c r="B21" s="14" t="s">
        <v>93</v>
      </c>
      <c r="C21" s="13">
        <v>1</v>
      </c>
      <c r="N21" s="39" t="s">
        <v>51</v>
      </c>
      <c r="O21" s="40">
        <v>37</v>
      </c>
      <c r="P21" s="67">
        <f t="shared" si="0"/>
        <v>0.11314984709480122</v>
      </c>
    </row>
    <row r="22" spans="2:16" x14ac:dyDescent="0.2">
      <c r="B22" s="14" t="s">
        <v>99</v>
      </c>
      <c r="C22" s="13">
        <v>8</v>
      </c>
      <c r="F22" s="15"/>
      <c r="N22" s="39" t="s">
        <v>3</v>
      </c>
      <c r="O22" s="40">
        <v>26</v>
      </c>
      <c r="P22" s="67">
        <f t="shared" si="0"/>
        <v>7.9510703363914373E-2</v>
      </c>
    </row>
    <row r="23" spans="2:16" x14ac:dyDescent="0.2">
      <c r="B23" s="14" t="s">
        <v>95</v>
      </c>
      <c r="C23" s="13">
        <v>1</v>
      </c>
      <c r="N23" s="39" t="s">
        <v>93</v>
      </c>
      <c r="O23" s="40">
        <v>1</v>
      </c>
      <c r="P23" s="67">
        <f t="shared" si="0"/>
        <v>3.0581039755351682E-3</v>
      </c>
    </row>
    <row r="24" spans="2:16" x14ac:dyDescent="0.2">
      <c r="B24" s="14" t="s">
        <v>599</v>
      </c>
      <c r="C24" s="13">
        <v>1</v>
      </c>
      <c r="N24" s="39" t="s">
        <v>136</v>
      </c>
      <c r="O24" s="40">
        <v>1</v>
      </c>
      <c r="P24" s="67">
        <f t="shared" si="0"/>
        <v>3.0581039755351682E-3</v>
      </c>
    </row>
    <row r="25" spans="2:16" x14ac:dyDescent="0.2">
      <c r="B25" s="14" t="s">
        <v>600</v>
      </c>
      <c r="C25" s="13">
        <v>2</v>
      </c>
      <c r="N25" s="39" t="s">
        <v>99</v>
      </c>
      <c r="O25" s="40">
        <v>9</v>
      </c>
      <c r="P25" s="67">
        <f t="shared" si="0"/>
        <v>2.7522935779816515E-2</v>
      </c>
    </row>
    <row r="26" spans="2:16" x14ac:dyDescent="0.2">
      <c r="B26" s="14" t="s">
        <v>257</v>
      </c>
      <c r="C26" s="13">
        <v>306</v>
      </c>
      <c r="N26" s="39" t="s">
        <v>95</v>
      </c>
      <c r="O26" s="40">
        <v>2</v>
      </c>
      <c r="P26" s="67">
        <f t="shared" si="0"/>
        <v>6.1162079510703364E-3</v>
      </c>
    </row>
    <row r="27" spans="2:16" x14ac:dyDescent="0.2">
      <c r="B27" s="14"/>
      <c r="C27" s="13"/>
      <c r="N27" s="38" t="s">
        <v>254</v>
      </c>
      <c r="O27" s="41">
        <f>SUM(O5:O26)</f>
        <v>327</v>
      </c>
      <c r="P27" s="68">
        <f>SUM(P5:P26)</f>
        <v>1.0000000000000002</v>
      </c>
    </row>
    <row r="28" spans="2:16" x14ac:dyDescent="0.2">
      <c r="B28" s="58" t="s">
        <v>1206</v>
      </c>
      <c r="C28" s="13"/>
    </row>
    <row r="30" spans="2:16" x14ac:dyDescent="0.2">
      <c r="B30" s="11" t="s">
        <v>237</v>
      </c>
      <c r="C30" t="s">
        <v>252</v>
      </c>
    </row>
    <row r="31" spans="2:16" x14ac:dyDescent="0.2">
      <c r="B31" s="14" t="s">
        <v>82</v>
      </c>
      <c r="C31">
        <v>1</v>
      </c>
    </row>
    <row r="32" spans="2:16" x14ac:dyDescent="0.2">
      <c r="B32" s="14" t="s">
        <v>136</v>
      </c>
      <c r="C32">
        <v>1</v>
      </c>
    </row>
    <row r="33" spans="2:3" x14ac:dyDescent="0.2">
      <c r="B33" s="14" t="s">
        <v>99</v>
      </c>
      <c r="C33">
        <v>1</v>
      </c>
    </row>
    <row r="34" spans="2:3" x14ac:dyDescent="0.2">
      <c r="B34" s="14" t="s">
        <v>137</v>
      </c>
      <c r="C34">
        <v>1</v>
      </c>
    </row>
    <row r="35" spans="2:3" x14ac:dyDescent="0.2">
      <c r="B35" s="14" t="s">
        <v>600</v>
      </c>
      <c r="C35">
        <v>5</v>
      </c>
    </row>
    <row r="36" spans="2:3" x14ac:dyDescent="0.2">
      <c r="B36" s="14" t="s">
        <v>599</v>
      </c>
      <c r="C36">
        <v>1</v>
      </c>
    </row>
    <row r="37" spans="2:3" x14ac:dyDescent="0.2">
      <c r="B37" s="14" t="s">
        <v>257</v>
      </c>
      <c r="C37">
        <v>10</v>
      </c>
    </row>
    <row r="38" spans="2:3" x14ac:dyDescent="0.2">
      <c r="B38" s="14"/>
    </row>
    <row r="39" spans="2:3" x14ac:dyDescent="0.2">
      <c r="B39" s="58" t="s">
        <v>1207</v>
      </c>
    </row>
    <row r="41" spans="2:3" x14ac:dyDescent="0.2">
      <c r="B41" s="11" t="s">
        <v>237</v>
      </c>
      <c r="C41" t="s">
        <v>253</v>
      </c>
    </row>
    <row r="42" spans="2:3" x14ac:dyDescent="0.2">
      <c r="B42" s="14" t="s">
        <v>82</v>
      </c>
      <c r="C42">
        <v>1</v>
      </c>
    </row>
    <row r="43" spans="2:3" x14ac:dyDescent="0.2">
      <c r="B43" s="14" t="s">
        <v>97</v>
      </c>
      <c r="C43">
        <v>2</v>
      </c>
    </row>
    <row r="44" spans="2:3" x14ac:dyDescent="0.2">
      <c r="B44" s="14" t="s">
        <v>95</v>
      </c>
      <c r="C44">
        <v>1</v>
      </c>
    </row>
    <row r="45" spans="2:3" x14ac:dyDescent="0.2">
      <c r="B45" s="14" t="s">
        <v>257</v>
      </c>
      <c r="C45">
        <v>4</v>
      </c>
    </row>
  </sheetData>
  <sortState xmlns:xlrd2="http://schemas.microsoft.com/office/spreadsheetml/2017/richdata2" ref="R5:S8">
    <sortCondition ref="R5:R8"/>
  </sortState>
  <pageMargins left="0.7" right="0.7" top="0.75" bottom="0.75" header="0.3" footer="0.3"/>
  <pageSetup paperSize="9" orientation="portrait" horizontalDpi="0" verticalDpi="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3B5FC-B9E6-DD42-89B7-5C9F91BF4268}">
  <dimension ref="A2:AA50"/>
  <sheetViews>
    <sheetView workbookViewId="0">
      <selection activeCell="T19" sqref="T19"/>
    </sheetView>
  </sheetViews>
  <sheetFormatPr baseColWidth="10" defaultRowHeight="16" x14ac:dyDescent="0.2"/>
  <cols>
    <col min="1" max="1" width="21" customWidth="1"/>
    <col min="2" max="7" width="15.83203125" customWidth="1"/>
    <col min="8" max="8" width="19.33203125" bestFit="1" customWidth="1"/>
    <col min="9" max="9" width="16" bestFit="1" customWidth="1"/>
    <col min="10" max="10" width="10.83203125" bestFit="1" customWidth="1"/>
    <col min="11" max="11" width="9" bestFit="1" customWidth="1"/>
    <col min="12" max="12" width="10.5" bestFit="1" customWidth="1"/>
    <col min="13" max="13" width="5.83203125" bestFit="1" customWidth="1"/>
    <col min="14" max="14" width="9" bestFit="1" customWidth="1"/>
    <col min="15" max="15" width="10.5" bestFit="1" customWidth="1"/>
    <col min="16" max="18" width="18" bestFit="1" customWidth="1"/>
    <col min="19" max="19" width="13.6640625" bestFit="1" customWidth="1"/>
    <col min="20" max="20" width="3.5" customWidth="1"/>
    <col min="21" max="21" width="20.6640625" bestFit="1" customWidth="1"/>
    <col min="22" max="22" width="17" bestFit="1" customWidth="1"/>
    <col min="23" max="23" width="19.5" bestFit="1" customWidth="1"/>
    <col min="24" max="24" width="12.33203125" bestFit="1" customWidth="1"/>
    <col min="25" max="25" width="14.6640625" bestFit="1" customWidth="1"/>
    <col min="26" max="26" width="9" bestFit="1" customWidth="1"/>
    <col min="27" max="27" width="11.1640625" bestFit="1" customWidth="1"/>
    <col min="28" max="28" width="9" bestFit="1" customWidth="1"/>
    <col min="29" max="29" width="9.1640625" bestFit="1" customWidth="1"/>
    <col min="30" max="30" width="11.33203125" bestFit="1" customWidth="1"/>
    <col min="31" max="31" width="13.6640625" bestFit="1" customWidth="1"/>
    <col min="32" max="32" width="9.1640625" bestFit="1" customWidth="1"/>
    <col min="33" max="33" width="11.5" bestFit="1" customWidth="1"/>
    <col min="34" max="34" width="17" bestFit="1" customWidth="1"/>
    <col min="35" max="35" width="19.5" bestFit="1" customWidth="1"/>
    <col min="36" max="36" width="10.83203125" bestFit="1" customWidth="1"/>
    <col min="37" max="37" width="12.5" bestFit="1" customWidth="1"/>
    <col min="38" max="38" width="7.83203125" bestFit="1" customWidth="1"/>
    <col min="39" max="39" width="10.1640625" bestFit="1" customWidth="1"/>
    <col min="40" max="40" width="16.1640625" bestFit="1" customWidth="1"/>
    <col min="41" max="41" width="18.6640625" bestFit="1" customWidth="1"/>
    <col min="42" max="42" width="19" bestFit="1" customWidth="1"/>
    <col min="43" max="43" width="21.5" bestFit="1" customWidth="1"/>
    <col min="44" max="44" width="21.33203125" bestFit="1" customWidth="1"/>
    <col min="45" max="45" width="23.83203125" bestFit="1" customWidth="1"/>
    <col min="46" max="46" width="13.33203125" bestFit="1" customWidth="1"/>
    <col min="47" max="47" width="15.6640625" bestFit="1" customWidth="1"/>
    <col min="48" max="48" width="21.33203125" bestFit="1" customWidth="1"/>
    <col min="49" max="49" width="23.83203125" bestFit="1" customWidth="1"/>
    <col min="50" max="51" width="13.6640625" bestFit="1" customWidth="1"/>
    <col min="52" max="52" width="16" bestFit="1" customWidth="1"/>
    <col min="53" max="53" width="13" bestFit="1" customWidth="1"/>
    <col min="54" max="54" width="15.33203125" bestFit="1" customWidth="1"/>
    <col min="55" max="55" width="14" bestFit="1" customWidth="1"/>
    <col min="56" max="56" width="16.5" bestFit="1" customWidth="1"/>
    <col min="57" max="58" width="10.83203125" bestFit="1" customWidth="1"/>
    <col min="59" max="59" width="9.1640625" bestFit="1" customWidth="1"/>
    <col min="60" max="61" width="15.83203125" bestFit="1" customWidth="1"/>
    <col min="62" max="62" width="18.33203125" bestFit="1" customWidth="1"/>
    <col min="63" max="63" width="11.33203125" bestFit="1" customWidth="1"/>
    <col min="64" max="64" width="13.6640625" bestFit="1" customWidth="1"/>
    <col min="65" max="65" width="18.33203125" bestFit="1" customWidth="1"/>
    <col min="66" max="66" width="20.6640625" bestFit="1" customWidth="1"/>
    <col min="67" max="67" width="17" bestFit="1" customWidth="1"/>
    <col min="68" max="68" width="19.5" bestFit="1" customWidth="1"/>
    <col min="69" max="69" width="12.33203125" bestFit="1" customWidth="1"/>
    <col min="70" max="70" width="14.6640625" bestFit="1" customWidth="1"/>
    <col min="71" max="71" width="9" bestFit="1" customWidth="1"/>
    <col min="72" max="72" width="11.1640625" bestFit="1" customWidth="1"/>
    <col min="73" max="73" width="9" bestFit="1" customWidth="1"/>
    <col min="74" max="74" width="9.1640625" bestFit="1" customWidth="1"/>
    <col min="75" max="75" width="11.33203125" bestFit="1" customWidth="1"/>
    <col min="76" max="76" width="13.6640625" bestFit="1" customWidth="1"/>
    <col min="77" max="77" width="9.1640625" bestFit="1" customWidth="1"/>
    <col min="78" max="78" width="11.5" bestFit="1" customWidth="1"/>
    <col min="79" max="79" width="17" bestFit="1" customWidth="1"/>
    <col min="80" max="80" width="19.5" bestFit="1" customWidth="1"/>
    <col min="81" max="81" width="10.83203125" bestFit="1" customWidth="1"/>
    <col min="82" max="82" width="12.5" bestFit="1" customWidth="1"/>
    <col min="83" max="83" width="7.83203125" bestFit="1" customWidth="1"/>
    <col min="84" max="84" width="10.1640625" bestFit="1" customWidth="1"/>
    <col min="85" max="85" width="16.1640625" bestFit="1" customWidth="1"/>
    <col min="86" max="86" width="18.6640625" bestFit="1" customWidth="1"/>
    <col min="87" max="87" width="19" bestFit="1" customWidth="1"/>
    <col min="88" max="88" width="21.5" bestFit="1" customWidth="1"/>
    <col min="89" max="89" width="21.33203125" bestFit="1" customWidth="1"/>
    <col min="90" max="90" width="23.83203125" bestFit="1" customWidth="1"/>
    <col min="91" max="91" width="13.33203125" bestFit="1" customWidth="1"/>
    <col min="92" max="92" width="15.6640625" bestFit="1" customWidth="1"/>
    <col min="93" max="93" width="21.33203125" bestFit="1" customWidth="1"/>
    <col min="94" max="94" width="23.83203125" bestFit="1" customWidth="1"/>
    <col min="95" max="96" width="13.6640625" bestFit="1" customWidth="1"/>
    <col min="97" max="97" width="16" bestFit="1" customWidth="1"/>
    <col min="98" max="98" width="13" bestFit="1" customWidth="1"/>
    <col min="99" max="99" width="15.33203125" bestFit="1" customWidth="1"/>
    <col min="100" max="100" width="14" bestFit="1" customWidth="1"/>
    <col min="101" max="101" width="16.5" bestFit="1" customWidth="1"/>
    <col min="102" max="103" width="10.83203125" bestFit="1" customWidth="1"/>
    <col min="104" max="104" width="9.1640625" bestFit="1" customWidth="1"/>
    <col min="105" max="106" width="15.83203125" bestFit="1" customWidth="1"/>
    <col min="107" max="107" width="18.33203125" bestFit="1" customWidth="1"/>
    <col min="108" max="108" width="11.33203125" bestFit="1" customWidth="1"/>
    <col min="109" max="109" width="13.6640625" bestFit="1" customWidth="1"/>
    <col min="110" max="110" width="18.33203125" bestFit="1" customWidth="1"/>
    <col min="111" max="111" width="20.6640625" bestFit="1" customWidth="1"/>
    <col min="112" max="112" width="17" bestFit="1" customWidth="1"/>
    <col min="113" max="113" width="19.5" bestFit="1" customWidth="1"/>
    <col min="114" max="114" width="12.33203125" bestFit="1" customWidth="1"/>
    <col min="115" max="115" width="14.6640625" bestFit="1" customWidth="1"/>
    <col min="116" max="116" width="9" bestFit="1" customWidth="1"/>
    <col min="117" max="117" width="11.1640625" bestFit="1" customWidth="1"/>
    <col min="118" max="118" width="9" bestFit="1" customWidth="1"/>
    <col min="119" max="119" width="9.1640625" bestFit="1" customWidth="1"/>
    <col min="120" max="120" width="11.33203125" bestFit="1" customWidth="1"/>
    <col min="121" max="121" width="13.6640625" bestFit="1" customWidth="1"/>
    <col min="122" max="122" width="9.1640625" bestFit="1" customWidth="1"/>
    <col min="123" max="123" width="11.5" bestFit="1" customWidth="1"/>
    <col min="124" max="124" width="17" bestFit="1" customWidth="1"/>
    <col min="125" max="125" width="19.5" bestFit="1" customWidth="1"/>
    <col min="126" max="126" width="10.83203125" bestFit="1" customWidth="1"/>
    <col min="127" max="127" width="12.5" bestFit="1" customWidth="1"/>
    <col min="128" max="128" width="7.83203125" bestFit="1" customWidth="1"/>
    <col min="129" max="129" width="10.1640625" bestFit="1" customWidth="1"/>
    <col min="130" max="130" width="16.1640625" bestFit="1" customWidth="1"/>
    <col min="131" max="131" width="18.6640625" bestFit="1" customWidth="1"/>
    <col min="132" max="132" width="19" bestFit="1" customWidth="1"/>
    <col min="133" max="133" width="21.5" bestFit="1" customWidth="1"/>
    <col min="134" max="134" width="21.33203125" bestFit="1" customWidth="1"/>
    <col min="135" max="135" width="23.83203125" bestFit="1" customWidth="1"/>
    <col min="136" max="136" width="13.33203125" bestFit="1" customWidth="1"/>
    <col min="137" max="137" width="15.6640625" bestFit="1" customWidth="1"/>
    <col min="138" max="138" width="17" bestFit="1" customWidth="1"/>
    <col min="139" max="139" width="21.5" bestFit="1" customWidth="1"/>
    <col min="140" max="140" width="21.33203125" bestFit="1" customWidth="1"/>
    <col min="141" max="141" width="19.33203125" bestFit="1" customWidth="1"/>
    <col min="142" max="142" width="23.83203125" bestFit="1" customWidth="1"/>
    <col min="143" max="143" width="13.33203125" bestFit="1" customWidth="1"/>
    <col min="144" max="144" width="11.33203125" bestFit="1" customWidth="1"/>
    <col min="145" max="145" width="15.6640625" bestFit="1" customWidth="1"/>
    <col min="146" max="146" width="21.33203125" bestFit="1" customWidth="1"/>
    <col min="147" max="147" width="19.33203125" bestFit="1" customWidth="1"/>
    <col min="148" max="148" width="23.83203125" bestFit="1" customWidth="1"/>
    <col min="149" max="150" width="13.6640625" bestFit="1" customWidth="1"/>
    <col min="151" max="151" width="11.6640625" bestFit="1" customWidth="1"/>
    <col min="152" max="152" width="16" bestFit="1" customWidth="1"/>
    <col min="153" max="153" width="13" bestFit="1" customWidth="1"/>
    <col min="154" max="155" width="11" bestFit="1" customWidth="1"/>
    <col min="156" max="156" width="11.33203125" bestFit="1" customWidth="1"/>
    <col min="157" max="157" width="15.33203125" bestFit="1" customWidth="1"/>
    <col min="158" max="158" width="14" bestFit="1" customWidth="1"/>
    <col min="159" max="161" width="12" bestFit="1" customWidth="1"/>
    <col min="162" max="162" width="16.5" bestFit="1" customWidth="1"/>
    <col min="163" max="163" width="14" bestFit="1" customWidth="1"/>
    <col min="164" max="164" width="16.5" bestFit="1" customWidth="1"/>
    <col min="165" max="166" width="10.83203125" bestFit="1" customWidth="1"/>
    <col min="167" max="167" width="11.33203125" bestFit="1" customWidth="1"/>
    <col min="168" max="168" width="9.1640625" bestFit="1" customWidth="1"/>
    <col min="169" max="170" width="15.83203125" bestFit="1" customWidth="1"/>
    <col min="171" max="171" width="13.83203125" bestFit="1" customWidth="1"/>
    <col min="172" max="172" width="18.33203125" bestFit="1" customWidth="1"/>
    <col min="173" max="174" width="11.33203125" bestFit="1" customWidth="1"/>
    <col min="175" max="175" width="13.6640625" bestFit="1" customWidth="1"/>
    <col min="176" max="176" width="18.33203125" bestFit="1" customWidth="1"/>
    <col min="177" max="177" width="16.33203125" bestFit="1" customWidth="1"/>
    <col min="178" max="178" width="20.6640625" bestFit="1" customWidth="1"/>
    <col min="179" max="179" width="17" bestFit="1" customWidth="1"/>
    <col min="180" max="180" width="15" bestFit="1" customWidth="1"/>
    <col min="181" max="181" width="19.5" bestFit="1" customWidth="1"/>
    <col min="182" max="182" width="12.33203125" bestFit="1" customWidth="1"/>
    <col min="183" max="183" width="11.33203125" bestFit="1" customWidth="1"/>
    <col min="184" max="184" width="14.6640625" bestFit="1" customWidth="1"/>
    <col min="185" max="185" width="9" bestFit="1" customWidth="1"/>
    <col min="186" max="186" width="11.33203125" bestFit="1" customWidth="1"/>
    <col min="187" max="187" width="11.1640625" bestFit="1" customWidth="1"/>
    <col min="188" max="188" width="9" bestFit="1" customWidth="1"/>
    <col min="189" max="189" width="11.33203125" bestFit="1" customWidth="1"/>
    <col min="190" max="190" width="9.1640625" bestFit="1" customWidth="1"/>
    <col min="191" max="192" width="11.33203125" bestFit="1" customWidth="1"/>
    <col min="193" max="193" width="13.6640625" bestFit="1" customWidth="1"/>
    <col min="194" max="194" width="9.1640625" bestFit="1" customWidth="1"/>
    <col min="195" max="195" width="11.33203125" bestFit="1" customWidth="1"/>
    <col min="196" max="196" width="11.5" bestFit="1" customWidth="1"/>
    <col min="197" max="197" width="17" bestFit="1" customWidth="1"/>
    <col min="198" max="198" width="15" bestFit="1" customWidth="1"/>
    <col min="199" max="199" width="19.5" bestFit="1" customWidth="1"/>
    <col min="200" max="200" width="10.83203125" bestFit="1" customWidth="1"/>
    <col min="201" max="201" width="11.33203125" bestFit="1" customWidth="1"/>
    <col min="202" max="202" width="12.5" bestFit="1" customWidth="1"/>
    <col min="203" max="203" width="9" bestFit="1" customWidth="1"/>
    <col min="204" max="204" width="11.33203125" bestFit="1" customWidth="1"/>
    <col min="205" max="205" width="10.1640625" bestFit="1" customWidth="1"/>
    <col min="206" max="206" width="16.1640625" bestFit="1" customWidth="1"/>
    <col min="207" max="207" width="14.1640625" bestFit="1" customWidth="1"/>
    <col min="208" max="208" width="18.6640625" bestFit="1" customWidth="1"/>
    <col min="209" max="209" width="19" bestFit="1" customWidth="1"/>
    <col min="210" max="210" width="17" bestFit="1" customWidth="1"/>
    <col min="211" max="211" width="21.5" bestFit="1" customWidth="1"/>
    <col min="212" max="212" width="21.33203125" bestFit="1" customWidth="1"/>
    <col min="213" max="213" width="19.33203125" bestFit="1" customWidth="1"/>
    <col min="214" max="214" width="23.83203125" bestFit="1" customWidth="1"/>
    <col min="215" max="215" width="13.33203125" bestFit="1" customWidth="1"/>
    <col min="216" max="216" width="11.33203125" bestFit="1" customWidth="1"/>
    <col min="217" max="217" width="15.6640625" bestFit="1" customWidth="1"/>
    <col min="218" max="220" width="12" bestFit="1" customWidth="1"/>
    <col min="221" max="221" width="16.5" bestFit="1" customWidth="1"/>
    <col min="222" max="222" width="14" bestFit="1" customWidth="1"/>
    <col min="223" max="223" width="12" bestFit="1" customWidth="1"/>
    <col min="224" max="224" width="16.5" bestFit="1" customWidth="1"/>
    <col min="227" max="228" width="11.33203125" bestFit="1" customWidth="1"/>
    <col min="229" max="229" width="9.1640625" bestFit="1" customWidth="1"/>
    <col min="230" max="231" width="15.83203125" bestFit="1" customWidth="1"/>
    <col min="232" max="233" width="13.83203125" bestFit="1" customWidth="1"/>
    <col min="234" max="234" width="18.33203125" bestFit="1" customWidth="1"/>
    <col min="235" max="237" width="11.33203125" bestFit="1" customWidth="1"/>
    <col min="238" max="238" width="13.6640625" bestFit="1" customWidth="1"/>
    <col min="239" max="239" width="18.33203125" bestFit="1" customWidth="1"/>
    <col min="240" max="241" width="16.33203125" bestFit="1" customWidth="1"/>
    <col min="242" max="242" width="20.6640625" bestFit="1" customWidth="1"/>
    <col min="243" max="243" width="17" bestFit="1" customWidth="1"/>
    <col min="244" max="245" width="15" bestFit="1" customWidth="1"/>
    <col min="246" max="246" width="19.5" bestFit="1" customWidth="1"/>
    <col min="247" max="247" width="12.33203125" bestFit="1" customWidth="1"/>
    <col min="248" max="249" width="11.33203125" bestFit="1" customWidth="1"/>
    <col min="250" max="250" width="14.6640625" bestFit="1" customWidth="1"/>
    <col min="251" max="251" width="9" bestFit="1" customWidth="1"/>
    <col min="252" max="253" width="11.33203125" bestFit="1" customWidth="1"/>
    <col min="254" max="254" width="11.1640625" bestFit="1" customWidth="1"/>
    <col min="255" max="255" width="9" bestFit="1" customWidth="1"/>
    <col min="256" max="257" width="11.33203125" bestFit="1" customWidth="1"/>
    <col min="258" max="258" width="9.1640625" bestFit="1" customWidth="1"/>
    <col min="259" max="261" width="11.33203125" bestFit="1" customWidth="1"/>
    <col min="262" max="262" width="13.6640625" bestFit="1" customWidth="1"/>
    <col min="263" max="263" width="9.1640625" bestFit="1" customWidth="1"/>
    <col min="264" max="265" width="11.33203125" bestFit="1" customWidth="1"/>
    <col min="266" max="266" width="11.5" bestFit="1" customWidth="1"/>
    <col min="267" max="267" width="17" bestFit="1" customWidth="1"/>
    <col min="268" max="269" width="15" bestFit="1" customWidth="1"/>
    <col min="270" max="270" width="19.5" bestFit="1" customWidth="1"/>
    <col min="272" max="273" width="11.33203125" bestFit="1" customWidth="1"/>
    <col min="274" max="274" width="12.5" bestFit="1" customWidth="1"/>
    <col min="275" max="275" width="9" bestFit="1" customWidth="1"/>
    <col min="276" max="277" width="11.33203125" bestFit="1" customWidth="1"/>
    <col min="278" max="278" width="10.1640625" bestFit="1" customWidth="1"/>
    <col min="279" max="279" width="16.1640625" bestFit="1" customWidth="1"/>
    <col min="280" max="281" width="14.1640625" bestFit="1" customWidth="1"/>
    <col min="282" max="282" width="18.6640625" bestFit="1" customWidth="1"/>
    <col min="283" max="283" width="19" bestFit="1" customWidth="1"/>
    <col min="284" max="285" width="17" bestFit="1" customWidth="1"/>
    <col min="286" max="286" width="21.5" bestFit="1" customWidth="1"/>
    <col min="287" max="287" width="21.33203125" bestFit="1" customWidth="1"/>
    <col min="288" max="289" width="19.33203125" bestFit="1" customWidth="1"/>
    <col min="290" max="290" width="23.83203125" bestFit="1" customWidth="1"/>
    <col min="291" max="291" width="13.33203125" bestFit="1" customWidth="1"/>
    <col min="292" max="293" width="11.33203125" bestFit="1" customWidth="1"/>
    <col min="294" max="294" width="15.6640625" bestFit="1" customWidth="1"/>
  </cols>
  <sheetData>
    <row r="2" spans="1:27" x14ac:dyDescent="0.2">
      <c r="A2" s="58" t="s">
        <v>1208</v>
      </c>
      <c r="U2" s="58" t="s">
        <v>1217</v>
      </c>
    </row>
    <row r="4" spans="1:27" x14ac:dyDescent="0.2">
      <c r="A4" s="11" t="s">
        <v>251</v>
      </c>
      <c r="B4" s="11" t="s">
        <v>234</v>
      </c>
      <c r="U4" s="36" t="s">
        <v>601</v>
      </c>
      <c r="V4" s="92" t="s">
        <v>0</v>
      </c>
      <c r="W4" s="92" t="s">
        <v>203</v>
      </c>
      <c r="X4" s="92" t="s">
        <v>66</v>
      </c>
      <c r="Y4" s="92" t="s">
        <v>3</v>
      </c>
      <c r="Z4" s="92" t="s">
        <v>247</v>
      </c>
      <c r="AA4" s="36" t="s">
        <v>224</v>
      </c>
    </row>
    <row r="5" spans="1:27" x14ac:dyDescent="0.2">
      <c r="A5" s="11" t="s">
        <v>235</v>
      </c>
      <c r="B5" s="15" t="s">
        <v>0</v>
      </c>
      <c r="C5" s="15" t="s">
        <v>203</v>
      </c>
      <c r="D5" s="15" t="s">
        <v>66</v>
      </c>
      <c r="E5" s="15" t="s">
        <v>3</v>
      </c>
      <c r="F5" s="15" t="s">
        <v>247</v>
      </c>
      <c r="G5" s="13" t="s">
        <v>224</v>
      </c>
      <c r="U5" s="49" t="s">
        <v>135</v>
      </c>
      <c r="V5" s="81"/>
      <c r="W5" s="81">
        <v>46</v>
      </c>
      <c r="X5" s="81"/>
      <c r="Y5" s="81"/>
      <c r="Z5" s="81"/>
      <c r="AA5" s="40">
        <f>SUM(V5:Y5)</f>
        <v>46</v>
      </c>
    </row>
    <row r="6" spans="1:27" x14ac:dyDescent="0.2">
      <c r="A6" s="49" t="s">
        <v>135</v>
      </c>
      <c r="B6" s="81"/>
      <c r="C6" s="81">
        <v>46</v>
      </c>
      <c r="D6" s="81"/>
      <c r="E6" s="81"/>
      <c r="F6" s="81"/>
      <c r="G6" s="49">
        <v>46</v>
      </c>
      <c r="U6" s="49" t="s">
        <v>90</v>
      </c>
      <c r="V6" s="81"/>
      <c r="W6" s="81">
        <v>51</v>
      </c>
      <c r="X6" s="81"/>
      <c r="Y6" s="81"/>
      <c r="Z6" s="81"/>
      <c r="AA6" s="40">
        <f t="shared" ref="AA6:AA24" si="0">SUM(V6:Y6)</f>
        <v>51</v>
      </c>
    </row>
    <row r="7" spans="1:27" x14ac:dyDescent="0.2">
      <c r="A7" s="49" t="s">
        <v>90</v>
      </c>
      <c r="B7" s="81"/>
      <c r="C7" s="81">
        <v>51</v>
      </c>
      <c r="D7" s="81"/>
      <c r="E7" s="81"/>
      <c r="F7" s="81"/>
      <c r="G7" s="49">
        <v>51</v>
      </c>
      <c r="U7" s="49" t="s">
        <v>76</v>
      </c>
      <c r="V7" s="81">
        <v>10</v>
      </c>
      <c r="W7" s="81"/>
      <c r="X7" s="81"/>
      <c r="Y7" s="81"/>
      <c r="Z7" s="81"/>
      <c r="AA7" s="40">
        <f t="shared" si="0"/>
        <v>10</v>
      </c>
    </row>
    <row r="8" spans="1:27" x14ac:dyDescent="0.2">
      <c r="A8" s="49" t="s">
        <v>76</v>
      </c>
      <c r="B8" s="81">
        <v>10</v>
      </c>
      <c r="C8" s="81"/>
      <c r="D8" s="81"/>
      <c r="E8" s="81"/>
      <c r="F8" s="81"/>
      <c r="G8" s="49">
        <v>10</v>
      </c>
      <c r="U8" s="49" t="s">
        <v>82</v>
      </c>
      <c r="V8" s="81">
        <v>9</v>
      </c>
      <c r="W8" s="81"/>
      <c r="X8" s="81"/>
      <c r="Y8" s="81"/>
      <c r="Z8" s="81"/>
      <c r="AA8" s="40">
        <f t="shared" si="0"/>
        <v>9</v>
      </c>
    </row>
    <row r="9" spans="1:27" x14ac:dyDescent="0.2">
      <c r="A9" s="49" t="s">
        <v>82</v>
      </c>
      <c r="B9" s="81">
        <v>7</v>
      </c>
      <c r="C9" s="81"/>
      <c r="D9" s="81"/>
      <c r="E9" s="81"/>
      <c r="F9" s="81"/>
      <c r="G9" s="49">
        <v>7</v>
      </c>
      <c r="U9" s="49" t="s">
        <v>600</v>
      </c>
      <c r="V9" s="81">
        <v>7</v>
      </c>
      <c r="W9" s="81"/>
      <c r="X9" s="81"/>
      <c r="Y9" s="81"/>
      <c r="Z9" s="81"/>
      <c r="AA9" s="40">
        <f t="shared" si="0"/>
        <v>7</v>
      </c>
    </row>
    <row r="10" spans="1:27" x14ac:dyDescent="0.2">
      <c r="A10" s="49" t="s">
        <v>205</v>
      </c>
      <c r="B10" s="81">
        <v>36</v>
      </c>
      <c r="C10" s="81"/>
      <c r="D10" s="81"/>
      <c r="E10" s="81"/>
      <c r="F10" s="81"/>
      <c r="G10" s="49">
        <v>36</v>
      </c>
      <c r="U10" s="49" t="s">
        <v>599</v>
      </c>
      <c r="V10" s="81"/>
      <c r="W10" s="81"/>
      <c r="X10" s="81"/>
      <c r="Y10" s="81"/>
      <c r="Z10" s="81">
        <v>2</v>
      </c>
      <c r="AA10" s="40">
        <f>SUM(V10:Z10)</f>
        <v>2</v>
      </c>
    </row>
    <row r="11" spans="1:27" x14ac:dyDescent="0.2">
      <c r="A11" s="49" t="s">
        <v>89</v>
      </c>
      <c r="B11" s="81"/>
      <c r="C11" s="81"/>
      <c r="D11" s="81"/>
      <c r="E11" s="81"/>
      <c r="F11" s="81">
        <v>12</v>
      </c>
      <c r="G11" s="49">
        <v>12</v>
      </c>
      <c r="U11" s="49" t="s">
        <v>205</v>
      </c>
      <c r="V11" s="81">
        <v>36</v>
      </c>
      <c r="W11" s="81"/>
      <c r="X11" s="81"/>
      <c r="Y11" s="81"/>
      <c r="Z11" s="81"/>
      <c r="AA11" s="40">
        <f t="shared" si="0"/>
        <v>36</v>
      </c>
    </row>
    <row r="12" spans="1:27" x14ac:dyDescent="0.2">
      <c r="A12" s="49" t="s">
        <v>138</v>
      </c>
      <c r="B12" s="81"/>
      <c r="C12" s="81"/>
      <c r="D12" s="81"/>
      <c r="E12" s="81"/>
      <c r="F12" s="81">
        <v>5</v>
      </c>
      <c r="G12" s="49">
        <v>5</v>
      </c>
      <c r="U12" s="49" t="s">
        <v>89</v>
      </c>
      <c r="V12" s="81"/>
      <c r="W12" s="81"/>
      <c r="X12" s="81"/>
      <c r="Y12" s="81"/>
      <c r="Z12" s="81">
        <v>12</v>
      </c>
      <c r="AA12" s="40">
        <f t="shared" ref="AA12:AA17" si="1">SUM(V12:Z12)</f>
        <v>12</v>
      </c>
    </row>
    <row r="13" spans="1:27" x14ac:dyDescent="0.2">
      <c r="A13" s="49" t="s">
        <v>137</v>
      </c>
      <c r="B13" s="81"/>
      <c r="C13" s="81"/>
      <c r="D13" s="81"/>
      <c r="E13" s="81"/>
      <c r="F13" s="81">
        <v>4</v>
      </c>
      <c r="G13" s="49">
        <v>4</v>
      </c>
      <c r="U13" s="49" t="s">
        <v>138</v>
      </c>
      <c r="V13" s="81"/>
      <c r="W13" s="81"/>
      <c r="X13" s="81"/>
      <c r="Y13" s="81"/>
      <c r="Z13" s="81">
        <v>5</v>
      </c>
      <c r="AA13" s="40">
        <f t="shared" si="1"/>
        <v>5</v>
      </c>
    </row>
    <row r="14" spans="1:27" ht="15" customHeight="1" x14ac:dyDescent="0.2">
      <c r="A14" s="49" t="s">
        <v>100</v>
      </c>
      <c r="B14" s="81"/>
      <c r="C14" s="81"/>
      <c r="D14" s="81"/>
      <c r="E14" s="81"/>
      <c r="F14" s="81">
        <v>2</v>
      </c>
      <c r="G14" s="49">
        <v>2</v>
      </c>
      <c r="U14" s="49" t="s">
        <v>137</v>
      </c>
      <c r="V14" s="81"/>
      <c r="W14" s="81"/>
      <c r="X14" s="81"/>
      <c r="Y14" s="81"/>
      <c r="Z14" s="81">
        <v>5</v>
      </c>
      <c r="AA14" s="40">
        <f t="shared" si="1"/>
        <v>5</v>
      </c>
    </row>
    <row r="15" spans="1:27" x14ac:dyDescent="0.2">
      <c r="A15" s="49" t="s">
        <v>98</v>
      </c>
      <c r="B15" s="81"/>
      <c r="C15" s="81"/>
      <c r="D15" s="81"/>
      <c r="E15" s="81"/>
      <c r="F15" s="81">
        <v>1</v>
      </c>
      <c r="G15" s="49">
        <v>1</v>
      </c>
      <c r="U15" s="49" t="s">
        <v>100</v>
      </c>
      <c r="V15" s="81"/>
      <c r="W15" s="81"/>
      <c r="X15" s="81"/>
      <c r="Y15" s="81"/>
      <c r="Z15" s="81">
        <v>2</v>
      </c>
      <c r="AA15" s="40">
        <f t="shared" si="1"/>
        <v>2</v>
      </c>
    </row>
    <row r="16" spans="1:27" x14ac:dyDescent="0.2">
      <c r="A16" s="49" t="s">
        <v>207</v>
      </c>
      <c r="B16" s="81">
        <v>1</v>
      </c>
      <c r="C16" s="81"/>
      <c r="D16" s="81"/>
      <c r="E16" s="81"/>
      <c r="F16" s="81">
        <v>1</v>
      </c>
      <c r="G16" s="49">
        <v>2</v>
      </c>
      <c r="U16" s="49" t="s">
        <v>98</v>
      </c>
      <c r="V16" s="81"/>
      <c r="W16" s="81"/>
      <c r="X16" s="81"/>
      <c r="Y16" s="81"/>
      <c r="Z16" s="81">
        <v>1</v>
      </c>
      <c r="AA16" s="40">
        <f t="shared" si="1"/>
        <v>1</v>
      </c>
    </row>
    <row r="17" spans="1:27" x14ac:dyDescent="0.2">
      <c r="A17" s="49" t="s">
        <v>66</v>
      </c>
      <c r="B17" s="81"/>
      <c r="C17" s="81"/>
      <c r="D17" s="81">
        <v>27</v>
      </c>
      <c r="E17" s="81"/>
      <c r="F17" s="81"/>
      <c r="G17" s="49">
        <v>27</v>
      </c>
      <c r="U17" s="49" t="s">
        <v>207</v>
      </c>
      <c r="V17" s="81"/>
      <c r="W17" s="81"/>
      <c r="X17" s="81"/>
      <c r="Y17" s="81"/>
      <c r="Z17" s="81">
        <v>2</v>
      </c>
      <c r="AA17" s="40">
        <f t="shared" si="1"/>
        <v>2</v>
      </c>
    </row>
    <row r="18" spans="1:27" x14ac:dyDescent="0.2">
      <c r="A18" s="49" t="s">
        <v>97</v>
      </c>
      <c r="B18" s="81"/>
      <c r="C18" s="81"/>
      <c r="D18" s="81"/>
      <c r="E18" s="81"/>
      <c r="F18" s="81">
        <v>5</v>
      </c>
      <c r="G18" s="49">
        <v>5</v>
      </c>
      <c r="U18" s="49" t="s">
        <v>66</v>
      </c>
      <c r="V18" s="81"/>
      <c r="W18" s="81"/>
      <c r="X18" s="81">
        <v>27</v>
      </c>
      <c r="Y18" s="81"/>
      <c r="Z18" s="81"/>
      <c r="AA18" s="40">
        <f t="shared" si="0"/>
        <v>27</v>
      </c>
    </row>
    <row r="19" spans="1:27" x14ac:dyDescent="0.2">
      <c r="A19" s="49" t="s">
        <v>37</v>
      </c>
      <c r="B19" s="81"/>
      <c r="C19" s="81">
        <v>22</v>
      </c>
      <c r="D19" s="81"/>
      <c r="E19" s="81"/>
      <c r="F19" s="81"/>
      <c r="G19" s="49">
        <v>22</v>
      </c>
      <c r="U19" s="49" t="s">
        <v>97</v>
      </c>
      <c r="V19" s="81"/>
      <c r="W19" s="81"/>
      <c r="X19" s="81"/>
      <c r="Y19" s="81"/>
      <c r="Z19" s="81">
        <v>7</v>
      </c>
      <c r="AA19" s="40">
        <f>SUM(V19:Z19)</f>
        <v>7</v>
      </c>
    </row>
    <row r="20" spans="1:27" x14ac:dyDescent="0.2">
      <c r="A20" s="49" t="s">
        <v>51</v>
      </c>
      <c r="B20" s="81"/>
      <c r="C20" s="81">
        <v>36</v>
      </c>
      <c r="D20" s="81"/>
      <c r="E20" s="81"/>
      <c r="F20" s="81"/>
      <c r="G20" s="49">
        <v>36</v>
      </c>
      <c r="U20" s="49" t="s">
        <v>37</v>
      </c>
      <c r="V20" s="81"/>
      <c r="W20" s="81">
        <v>22</v>
      </c>
      <c r="X20" s="81"/>
      <c r="Y20" s="81"/>
      <c r="Z20" s="81"/>
      <c r="AA20" s="40">
        <f t="shared" si="0"/>
        <v>22</v>
      </c>
    </row>
    <row r="21" spans="1:27" x14ac:dyDescent="0.2">
      <c r="A21" s="49" t="s">
        <v>3</v>
      </c>
      <c r="B21" s="81"/>
      <c r="C21" s="81"/>
      <c r="D21" s="81"/>
      <c r="E21" s="81">
        <v>27</v>
      </c>
      <c r="F21" s="81"/>
      <c r="G21" s="49">
        <v>27</v>
      </c>
      <c r="U21" s="49" t="s">
        <v>51</v>
      </c>
      <c r="V21" s="81"/>
      <c r="W21" s="81">
        <v>36</v>
      </c>
      <c r="X21" s="81"/>
      <c r="Y21" s="81"/>
      <c r="Z21" s="81"/>
      <c r="AA21" s="40">
        <f t="shared" si="0"/>
        <v>36</v>
      </c>
    </row>
    <row r="22" spans="1:27" x14ac:dyDescent="0.2">
      <c r="A22" s="49" t="s">
        <v>93</v>
      </c>
      <c r="B22" s="81"/>
      <c r="C22" s="81"/>
      <c r="D22" s="81"/>
      <c r="E22" s="81"/>
      <c r="F22" s="81">
        <v>1</v>
      </c>
      <c r="G22" s="49">
        <v>1</v>
      </c>
      <c r="U22" s="49" t="s">
        <v>3</v>
      </c>
      <c r="V22" s="81"/>
      <c r="W22" s="81"/>
      <c r="X22" s="81"/>
      <c r="Y22" s="81">
        <v>27</v>
      </c>
      <c r="Z22" s="81"/>
      <c r="AA22" s="40">
        <f t="shared" si="0"/>
        <v>27</v>
      </c>
    </row>
    <row r="23" spans="1:27" x14ac:dyDescent="0.2">
      <c r="A23" s="49" t="s">
        <v>99</v>
      </c>
      <c r="B23" s="81"/>
      <c r="C23" s="81"/>
      <c r="D23" s="81"/>
      <c r="E23" s="81"/>
      <c r="F23" s="81">
        <v>8</v>
      </c>
      <c r="G23" s="49">
        <v>8</v>
      </c>
      <c r="U23" s="49" t="s">
        <v>93</v>
      </c>
      <c r="V23" s="81"/>
      <c r="W23" s="81"/>
      <c r="X23" s="81"/>
      <c r="Y23" s="81"/>
      <c r="Z23" s="81">
        <v>1</v>
      </c>
      <c r="AA23" s="40">
        <f>SUM(V23:Z23)</f>
        <v>1</v>
      </c>
    </row>
    <row r="24" spans="1:27" x14ac:dyDescent="0.2">
      <c r="A24" s="49" t="s">
        <v>95</v>
      </c>
      <c r="B24" s="81"/>
      <c r="C24" s="81"/>
      <c r="D24" s="81"/>
      <c r="E24" s="81"/>
      <c r="F24" s="81">
        <v>1</v>
      </c>
      <c r="G24" s="49">
        <v>1</v>
      </c>
      <c r="U24" s="49" t="s">
        <v>136</v>
      </c>
      <c r="V24" s="81">
        <v>1</v>
      </c>
      <c r="W24" s="81"/>
      <c r="X24" s="81"/>
      <c r="Y24" s="81"/>
      <c r="Z24" s="81"/>
      <c r="AA24" s="40">
        <f t="shared" si="0"/>
        <v>1</v>
      </c>
    </row>
    <row r="25" spans="1:27" x14ac:dyDescent="0.2">
      <c r="A25" s="49" t="s">
        <v>599</v>
      </c>
      <c r="B25" s="81"/>
      <c r="C25" s="81"/>
      <c r="D25" s="81"/>
      <c r="E25" s="81"/>
      <c r="F25" s="81">
        <v>1</v>
      </c>
      <c r="G25" s="49">
        <v>1</v>
      </c>
      <c r="U25" s="49" t="s">
        <v>99</v>
      </c>
      <c r="V25" s="81"/>
      <c r="W25" s="81"/>
      <c r="X25" s="81"/>
      <c r="Y25" s="81"/>
      <c r="Z25" s="81">
        <v>9</v>
      </c>
      <c r="AA25" s="40">
        <f>SUM(V25:Z25)</f>
        <v>9</v>
      </c>
    </row>
    <row r="26" spans="1:27" x14ac:dyDescent="0.2">
      <c r="A26" s="49" t="s">
        <v>600</v>
      </c>
      <c r="B26" s="81">
        <v>2</v>
      </c>
      <c r="C26" s="81"/>
      <c r="D26" s="81"/>
      <c r="E26" s="81"/>
      <c r="F26" s="81"/>
      <c r="G26" s="49">
        <v>2</v>
      </c>
      <c r="U26" s="49" t="s">
        <v>95</v>
      </c>
      <c r="V26" s="81"/>
      <c r="W26" s="81"/>
      <c r="X26" s="81"/>
      <c r="Y26" s="81"/>
      <c r="Z26" s="81">
        <v>2</v>
      </c>
      <c r="AA26" s="40">
        <f>SUM(V26:Z26)</f>
        <v>2</v>
      </c>
    </row>
    <row r="27" spans="1:27" x14ac:dyDescent="0.2">
      <c r="A27" t="s">
        <v>224</v>
      </c>
      <c r="B27" s="15">
        <v>56</v>
      </c>
      <c r="C27" s="15">
        <v>155</v>
      </c>
      <c r="D27" s="15">
        <v>27</v>
      </c>
      <c r="E27" s="15">
        <v>27</v>
      </c>
      <c r="F27" s="15">
        <v>41</v>
      </c>
      <c r="G27">
        <v>306</v>
      </c>
      <c r="U27" s="37" t="s">
        <v>254</v>
      </c>
      <c r="V27" s="93">
        <f>SUM(V5:V26)</f>
        <v>63</v>
      </c>
      <c r="W27" s="93">
        <f t="shared" ref="W27:Y27" si="2">SUM(W5:W26)</f>
        <v>155</v>
      </c>
      <c r="X27" s="93">
        <f t="shared" si="2"/>
        <v>27</v>
      </c>
      <c r="Y27" s="93">
        <f t="shared" si="2"/>
        <v>27</v>
      </c>
      <c r="Z27" s="93">
        <f>SUM(Z5:Z26)</f>
        <v>48</v>
      </c>
      <c r="AA27" s="37">
        <f>SUM(AA5:AA26)</f>
        <v>320</v>
      </c>
    </row>
    <row r="29" spans="1:27" x14ac:dyDescent="0.2">
      <c r="A29" s="58" t="s">
        <v>1209</v>
      </c>
      <c r="V29">
        <f>SUM(V27:Z27)</f>
        <v>320</v>
      </c>
    </row>
    <row r="31" spans="1:27" x14ac:dyDescent="0.2">
      <c r="A31" s="11" t="s">
        <v>252</v>
      </c>
      <c r="B31" s="11" t="s">
        <v>596</v>
      </c>
    </row>
    <row r="32" spans="1:27" x14ac:dyDescent="0.2">
      <c r="A32" s="11" t="s">
        <v>250</v>
      </c>
      <c r="B32" s="15" t="s">
        <v>0</v>
      </c>
      <c r="C32" s="15" t="s">
        <v>203</v>
      </c>
      <c r="D32" s="15" t="s">
        <v>247</v>
      </c>
      <c r="E32" t="s">
        <v>224</v>
      </c>
    </row>
    <row r="33" spans="1:5" x14ac:dyDescent="0.2">
      <c r="A33" s="14" t="s">
        <v>82</v>
      </c>
      <c r="B33" s="15">
        <v>1</v>
      </c>
      <c r="C33" s="15"/>
      <c r="D33" s="15"/>
      <c r="E33">
        <v>1</v>
      </c>
    </row>
    <row r="34" spans="1:5" x14ac:dyDescent="0.2">
      <c r="A34" s="14" t="s">
        <v>136</v>
      </c>
      <c r="B34" s="15"/>
      <c r="C34" s="15"/>
      <c r="D34" s="15">
        <v>1</v>
      </c>
      <c r="E34">
        <v>1</v>
      </c>
    </row>
    <row r="35" spans="1:5" x14ac:dyDescent="0.2">
      <c r="A35" s="14" t="s">
        <v>99</v>
      </c>
      <c r="B35" s="15"/>
      <c r="C35" s="15"/>
      <c r="D35" s="15">
        <v>1</v>
      </c>
      <c r="E35">
        <v>1</v>
      </c>
    </row>
    <row r="36" spans="1:5" x14ac:dyDescent="0.2">
      <c r="A36" s="14" t="s">
        <v>137</v>
      </c>
      <c r="B36" s="15"/>
      <c r="C36" s="15"/>
      <c r="D36" s="15">
        <v>1</v>
      </c>
      <c r="E36">
        <v>1</v>
      </c>
    </row>
    <row r="37" spans="1:5" x14ac:dyDescent="0.2">
      <c r="A37" s="14" t="s">
        <v>600</v>
      </c>
      <c r="B37" s="15">
        <v>5</v>
      </c>
      <c r="C37" s="15"/>
      <c r="D37" s="15"/>
      <c r="E37">
        <v>5</v>
      </c>
    </row>
    <row r="38" spans="1:5" x14ac:dyDescent="0.2">
      <c r="A38" s="14" t="s">
        <v>599</v>
      </c>
      <c r="B38" s="15"/>
      <c r="C38" s="15">
        <v>1</v>
      </c>
      <c r="D38" s="15"/>
      <c r="E38">
        <v>1</v>
      </c>
    </row>
    <row r="39" spans="1:5" x14ac:dyDescent="0.2">
      <c r="A39" s="14" t="s">
        <v>224</v>
      </c>
      <c r="B39" s="15">
        <v>6</v>
      </c>
      <c r="C39" s="15">
        <v>1</v>
      </c>
      <c r="D39" s="15">
        <v>3</v>
      </c>
      <c r="E39">
        <v>10</v>
      </c>
    </row>
    <row r="40" spans="1:5" x14ac:dyDescent="0.2">
      <c r="A40" s="14"/>
    </row>
    <row r="41" spans="1:5" x14ac:dyDescent="0.2">
      <c r="A41" s="58" t="s">
        <v>1210</v>
      </c>
    </row>
    <row r="43" spans="1:5" x14ac:dyDescent="0.2">
      <c r="A43" s="11" t="s">
        <v>253</v>
      </c>
      <c r="B43" s="11" t="s">
        <v>596</v>
      </c>
    </row>
    <row r="44" spans="1:5" x14ac:dyDescent="0.2">
      <c r="A44" s="11" t="s">
        <v>250</v>
      </c>
      <c r="B44" s="15" t="s">
        <v>0</v>
      </c>
      <c r="C44" s="15" t="s">
        <v>203</v>
      </c>
      <c r="D44" s="15" t="s">
        <v>247</v>
      </c>
      <c r="E44" t="s">
        <v>224</v>
      </c>
    </row>
    <row r="45" spans="1:5" x14ac:dyDescent="0.2">
      <c r="A45" s="14" t="s">
        <v>82</v>
      </c>
      <c r="B45" s="15">
        <v>1</v>
      </c>
      <c r="C45" s="15"/>
      <c r="D45" s="15"/>
      <c r="E45">
        <v>1</v>
      </c>
    </row>
    <row r="46" spans="1:5" x14ac:dyDescent="0.2">
      <c r="A46" s="14" t="s">
        <v>97</v>
      </c>
      <c r="B46" s="15"/>
      <c r="C46" s="15">
        <v>1</v>
      </c>
      <c r="D46" s="15">
        <v>1</v>
      </c>
      <c r="E46">
        <v>2</v>
      </c>
    </row>
    <row r="47" spans="1:5" x14ac:dyDescent="0.2">
      <c r="A47" s="14" t="s">
        <v>95</v>
      </c>
      <c r="B47" s="15"/>
      <c r="C47" s="15"/>
      <c r="D47" s="15">
        <v>1</v>
      </c>
      <c r="E47">
        <v>1</v>
      </c>
    </row>
    <row r="48" spans="1:5" x14ac:dyDescent="0.2">
      <c r="A48" s="14" t="s">
        <v>224</v>
      </c>
      <c r="B48" s="15">
        <v>1</v>
      </c>
      <c r="C48" s="15">
        <v>1</v>
      </c>
      <c r="D48" s="15">
        <v>2</v>
      </c>
      <c r="E48">
        <v>4</v>
      </c>
    </row>
    <row r="49" spans="1:1" x14ac:dyDescent="0.2">
      <c r="A49" s="14"/>
    </row>
    <row r="50" spans="1:1" x14ac:dyDescent="0.2">
      <c r="A50" s="14"/>
    </row>
  </sheetData>
  <dataConsolidate/>
  <pageMargins left="0.7" right="0.7" top="0.75" bottom="0.75" header="0.3" footer="0.3"/>
  <pageSetup paperSize="9" orientation="portrait" horizontalDpi="0" verticalDpi="0"/>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80AB0-70E7-D644-B354-45EA198DB49C}">
  <sheetPr>
    <pageSetUpPr fitToPage="1"/>
  </sheetPr>
  <dimension ref="A2:H88"/>
  <sheetViews>
    <sheetView zoomScale="106" zoomScaleNormal="106" workbookViewId="0">
      <selection activeCell="A10" sqref="A10:XFD10"/>
    </sheetView>
  </sheetViews>
  <sheetFormatPr baseColWidth="10" defaultRowHeight="16" x14ac:dyDescent="0.2"/>
  <cols>
    <col min="1" max="1" width="43.83203125" bestFit="1" customWidth="1"/>
    <col min="2" max="2" width="19" bestFit="1" customWidth="1"/>
    <col min="4" max="4" width="54.1640625" customWidth="1"/>
    <col min="6" max="6" width="53.83203125" customWidth="1"/>
  </cols>
  <sheetData>
    <row r="2" spans="1:8" x14ac:dyDescent="0.2">
      <c r="A2" s="58" t="s">
        <v>260</v>
      </c>
    </row>
    <row r="3" spans="1:8" x14ac:dyDescent="0.2">
      <c r="D3" s="17" t="s">
        <v>624</v>
      </c>
    </row>
    <row r="4" spans="1:8" x14ac:dyDescent="0.2">
      <c r="A4" t="s">
        <v>25</v>
      </c>
      <c r="B4" t="s">
        <v>230</v>
      </c>
      <c r="D4" t="s">
        <v>1272</v>
      </c>
      <c r="F4" s="59" t="s">
        <v>1212</v>
      </c>
    </row>
    <row r="5" spans="1:8" ht="17" x14ac:dyDescent="0.2">
      <c r="A5" s="49" t="s">
        <v>77</v>
      </c>
      <c r="B5" s="49">
        <v>28</v>
      </c>
      <c r="D5" t="s">
        <v>1265</v>
      </c>
      <c r="F5" s="63" t="s">
        <v>133</v>
      </c>
      <c r="H5" s="1"/>
    </row>
    <row r="6" spans="1:8" ht="17" x14ac:dyDescent="0.2">
      <c r="A6" s="49" t="s">
        <v>121</v>
      </c>
      <c r="B6" s="49">
        <v>23</v>
      </c>
      <c r="D6" t="s">
        <v>1273</v>
      </c>
      <c r="F6" s="63" t="s">
        <v>195</v>
      </c>
      <c r="H6" s="1"/>
    </row>
    <row r="7" spans="1:8" ht="17" x14ac:dyDescent="0.2">
      <c r="A7" s="49" t="s">
        <v>104</v>
      </c>
      <c r="B7" s="49">
        <v>20</v>
      </c>
      <c r="F7" s="63" t="s">
        <v>340</v>
      </c>
      <c r="H7" s="1"/>
    </row>
    <row r="8" spans="1:8" ht="17" x14ac:dyDescent="0.2">
      <c r="A8" s="49" t="s">
        <v>52</v>
      </c>
      <c r="B8" s="49">
        <v>19</v>
      </c>
      <c r="F8" s="63" t="s">
        <v>344</v>
      </c>
      <c r="H8" s="1"/>
    </row>
    <row r="9" spans="1:8" ht="17" x14ac:dyDescent="0.2">
      <c r="A9" s="49" t="s">
        <v>36</v>
      </c>
      <c r="B9" s="49">
        <v>19</v>
      </c>
      <c r="F9" s="63" t="s">
        <v>33</v>
      </c>
      <c r="H9" s="1"/>
    </row>
    <row r="10" spans="1:8" ht="17" x14ac:dyDescent="0.2">
      <c r="A10" s="49" t="s">
        <v>54</v>
      </c>
      <c r="B10" s="49">
        <v>18</v>
      </c>
      <c r="F10" s="63" t="s">
        <v>94</v>
      </c>
      <c r="H10" s="1"/>
    </row>
    <row r="11" spans="1:8" ht="17" x14ac:dyDescent="0.2">
      <c r="A11" s="49" t="s">
        <v>29</v>
      </c>
      <c r="B11" s="49">
        <v>14</v>
      </c>
      <c r="F11" s="63" t="s">
        <v>193</v>
      </c>
      <c r="H11" s="1"/>
    </row>
    <row r="12" spans="1:8" ht="17" x14ac:dyDescent="0.2">
      <c r="A12" s="49" t="s">
        <v>160</v>
      </c>
      <c r="B12" s="49">
        <v>14</v>
      </c>
      <c r="F12" s="63" t="s">
        <v>15</v>
      </c>
      <c r="H12" s="1"/>
    </row>
    <row r="13" spans="1:8" ht="17" x14ac:dyDescent="0.2">
      <c r="A13" s="49" t="s">
        <v>63</v>
      </c>
      <c r="B13" s="49">
        <v>13</v>
      </c>
      <c r="F13" s="63" t="s">
        <v>338</v>
      </c>
      <c r="H13" s="1"/>
    </row>
    <row r="14" spans="1:8" ht="17" x14ac:dyDescent="0.2">
      <c r="A14" t="s">
        <v>1271</v>
      </c>
      <c r="B14" s="49">
        <v>11</v>
      </c>
      <c r="F14" s="63" t="s">
        <v>14</v>
      </c>
      <c r="H14" s="1"/>
    </row>
    <row r="15" spans="1:8" ht="17" x14ac:dyDescent="0.2">
      <c r="A15" s="49" t="s">
        <v>46</v>
      </c>
      <c r="B15" s="49">
        <v>10</v>
      </c>
      <c r="F15" s="63" t="s">
        <v>40</v>
      </c>
      <c r="H15" s="1"/>
    </row>
    <row r="16" spans="1:8" ht="17" x14ac:dyDescent="0.2">
      <c r="A16" s="49" t="s">
        <v>165</v>
      </c>
      <c r="B16" s="49">
        <v>7</v>
      </c>
      <c r="F16" s="63" t="s">
        <v>34</v>
      </c>
      <c r="H16" s="1"/>
    </row>
    <row r="17" spans="1:8" ht="17" x14ac:dyDescent="0.2">
      <c r="A17" s="49" t="s">
        <v>70</v>
      </c>
      <c r="B17" s="49">
        <v>5</v>
      </c>
      <c r="F17" s="63" t="s">
        <v>341</v>
      </c>
      <c r="H17" s="1"/>
    </row>
    <row r="18" spans="1:8" ht="17" x14ac:dyDescent="0.2">
      <c r="A18" s="49" t="s">
        <v>67</v>
      </c>
      <c r="B18" s="49">
        <v>4</v>
      </c>
      <c r="F18" s="63" t="s">
        <v>35</v>
      </c>
      <c r="H18" s="1"/>
    </row>
    <row r="19" spans="1:8" ht="17" x14ac:dyDescent="0.2">
      <c r="A19" s="49" t="s">
        <v>128</v>
      </c>
      <c r="B19" s="49">
        <v>4</v>
      </c>
      <c r="F19" s="63" t="s">
        <v>1179</v>
      </c>
      <c r="H19" s="1"/>
    </row>
    <row r="20" spans="1:8" ht="17" x14ac:dyDescent="0.2">
      <c r="A20" t="s">
        <v>1270</v>
      </c>
      <c r="B20" s="49">
        <v>4</v>
      </c>
      <c r="F20" s="63" t="s">
        <v>197</v>
      </c>
      <c r="H20" s="1"/>
    </row>
    <row r="21" spans="1:8" ht="17" x14ac:dyDescent="0.2">
      <c r="A21" s="49" t="s">
        <v>14</v>
      </c>
      <c r="B21" s="49">
        <v>3</v>
      </c>
      <c r="F21" s="63" t="s">
        <v>168</v>
      </c>
      <c r="H21" s="1"/>
    </row>
    <row r="22" spans="1:8" ht="18" customHeight="1" x14ac:dyDescent="0.2">
      <c r="A22" s="49" t="s">
        <v>124</v>
      </c>
      <c r="B22" s="49">
        <v>3</v>
      </c>
      <c r="F22" s="63" t="s">
        <v>213</v>
      </c>
      <c r="H22" s="1"/>
    </row>
    <row r="23" spans="1:8" ht="17" x14ac:dyDescent="0.2">
      <c r="A23" s="49" t="s">
        <v>768</v>
      </c>
      <c r="B23" s="49">
        <v>3</v>
      </c>
      <c r="F23" s="63" t="s">
        <v>39</v>
      </c>
      <c r="H23" s="1"/>
    </row>
    <row r="24" spans="1:8" ht="17" x14ac:dyDescent="0.2">
      <c r="A24" s="49" t="s">
        <v>340</v>
      </c>
      <c r="B24" s="49">
        <v>2</v>
      </c>
      <c r="F24" s="63" t="s">
        <v>134</v>
      </c>
      <c r="H24" s="1"/>
    </row>
    <row r="25" spans="1:8" ht="17" x14ac:dyDescent="0.2">
      <c r="A25" s="49" t="s">
        <v>161</v>
      </c>
      <c r="B25" s="49">
        <v>2</v>
      </c>
      <c r="F25" s="63" t="s">
        <v>108</v>
      </c>
      <c r="H25" s="1"/>
    </row>
    <row r="26" spans="1:8" ht="17" x14ac:dyDescent="0.2">
      <c r="A26" s="49" t="s">
        <v>133</v>
      </c>
      <c r="B26" s="49">
        <v>2</v>
      </c>
      <c r="F26" s="63" t="s">
        <v>28</v>
      </c>
      <c r="H26" s="1"/>
    </row>
    <row r="27" spans="1:8" ht="17" x14ac:dyDescent="0.2">
      <c r="A27" s="49" t="s">
        <v>194</v>
      </c>
      <c r="B27" s="49">
        <v>2</v>
      </c>
      <c r="F27" s="63" t="s">
        <v>57</v>
      </c>
      <c r="H27" s="1"/>
    </row>
    <row r="28" spans="1:8" ht="17" x14ac:dyDescent="0.2">
      <c r="A28" s="49" t="s">
        <v>313</v>
      </c>
      <c r="B28" s="49">
        <v>2</v>
      </c>
      <c r="F28" s="63" t="s">
        <v>339</v>
      </c>
      <c r="H28" s="1"/>
    </row>
    <row r="29" spans="1:8" ht="17" x14ac:dyDescent="0.2">
      <c r="A29" s="49" t="s">
        <v>96</v>
      </c>
      <c r="B29" s="49">
        <v>2</v>
      </c>
      <c r="F29" s="63" t="s">
        <v>343</v>
      </c>
      <c r="H29" s="1"/>
    </row>
    <row r="30" spans="1:8" ht="17" x14ac:dyDescent="0.2">
      <c r="A30" s="49" t="s">
        <v>743</v>
      </c>
      <c r="B30" s="49">
        <v>2</v>
      </c>
      <c r="F30" s="64" t="s">
        <v>374</v>
      </c>
      <c r="H30" s="1"/>
    </row>
    <row r="31" spans="1:8" ht="17" x14ac:dyDescent="0.2">
      <c r="A31" s="49" t="s">
        <v>168</v>
      </c>
      <c r="B31" s="49">
        <v>2</v>
      </c>
      <c r="F31" s="63" t="s">
        <v>575</v>
      </c>
      <c r="H31" s="1"/>
    </row>
    <row r="32" spans="1:8" ht="17" x14ac:dyDescent="0.2">
      <c r="A32" s="49" t="s">
        <v>125</v>
      </c>
      <c r="B32" s="49">
        <v>2</v>
      </c>
      <c r="F32" s="63" t="s">
        <v>13</v>
      </c>
      <c r="H32" s="1"/>
    </row>
    <row r="33" spans="1:8" ht="17" x14ac:dyDescent="0.2">
      <c r="A33" s="49" t="s">
        <v>92</v>
      </c>
      <c r="B33" s="49">
        <v>2</v>
      </c>
      <c r="F33" s="65" t="s">
        <v>163</v>
      </c>
      <c r="H33" s="1"/>
    </row>
    <row r="34" spans="1:8" x14ac:dyDescent="0.2">
      <c r="A34" s="49" t="s">
        <v>298</v>
      </c>
      <c r="B34" s="49">
        <v>2</v>
      </c>
      <c r="H34" s="1"/>
    </row>
    <row r="35" spans="1:8" x14ac:dyDescent="0.2">
      <c r="A35" s="49" t="s">
        <v>41</v>
      </c>
      <c r="B35" s="49">
        <v>2</v>
      </c>
      <c r="H35" s="1"/>
    </row>
    <row r="36" spans="1:8" x14ac:dyDescent="0.2">
      <c r="A36" s="49" t="s">
        <v>310</v>
      </c>
      <c r="B36" s="49">
        <v>2</v>
      </c>
      <c r="H36" s="1"/>
    </row>
    <row r="37" spans="1:8" x14ac:dyDescent="0.2">
      <c r="A37" s="49" t="s">
        <v>50</v>
      </c>
      <c r="B37" s="49">
        <v>2</v>
      </c>
      <c r="H37" s="7"/>
    </row>
    <row r="38" spans="1:8" x14ac:dyDescent="0.2">
      <c r="A38" s="49" t="s">
        <v>344</v>
      </c>
      <c r="B38" s="49">
        <v>2</v>
      </c>
      <c r="H38" s="1"/>
    </row>
    <row r="39" spans="1:8" x14ac:dyDescent="0.2">
      <c r="A39" s="49" t="s">
        <v>729</v>
      </c>
      <c r="B39" s="49">
        <v>2</v>
      </c>
      <c r="H39" s="1"/>
    </row>
    <row r="40" spans="1:8" x14ac:dyDescent="0.2">
      <c r="A40" s="49" t="s">
        <v>195</v>
      </c>
      <c r="B40" s="49">
        <v>2</v>
      </c>
      <c r="H40" s="1"/>
    </row>
    <row r="41" spans="1:8" x14ac:dyDescent="0.2">
      <c r="A41" t="s">
        <v>1268</v>
      </c>
      <c r="B41" s="49">
        <v>2</v>
      </c>
    </row>
    <row r="42" spans="1:8" x14ac:dyDescent="0.2">
      <c r="A42" s="49" t="s">
        <v>4</v>
      </c>
      <c r="B42" s="49">
        <v>2</v>
      </c>
    </row>
    <row r="43" spans="1:8" x14ac:dyDescent="0.2">
      <c r="A43" t="s">
        <v>1267</v>
      </c>
      <c r="B43" s="49">
        <v>2</v>
      </c>
    </row>
    <row r="44" spans="1:8" x14ac:dyDescent="0.2">
      <c r="A44" s="49" t="s">
        <v>678</v>
      </c>
      <c r="B44" s="49">
        <v>1</v>
      </c>
    </row>
    <row r="45" spans="1:8" x14ac:dyDescent="0.2">
      <c r="A45" s="49" t="s">
        <v>339</v>
      </c>
      <c r="B45" s="49">
        <v>1</v>
      </c>
    </row>
    <row r="46" spans="1:8" x14ac:dyDescent="0.2">
      <c r="A46" s="49" t="s">
        <v>32</v>
      </c>
      <c r="B46" s="49">
        <v>1</v>
      </c>
    </row>
    <row r="47" spans="1:8" x14ac:dyDescent="0.2">
      <c r="A47" s="49" t="s">
        <v>110</v>
      </c>
      <c r="B47" s="49">
        <v>1</v>
      </c>
    </row>
    <row r="48" spans="1:8" x14ac:dyDescent="0.2">
      <c r="A48" s="49" t="s">
        <v>196</v>
      </c>
      <c r="B48" s="49">
        <v>1</v>
      </c>
    </row>
    <row r="49" spans="1:2" x14ac:dyDescent="0.2">
      <c r="A49" s="49" t="s">
        <v>59</v>
      </c>
      <c r="B49" s="49">
        <v>1</v>
      </c>
    </row>
    <row r="50" spans="1:2" x14ac:dyDescent="0.2">
      <c r="A50" s="49" t="s">
        <v>213</v>
      </c>
      <c r="B50" s="49">
        <v>1</v>
      </c>
    </row>
    <row r="51" spans="1:2" x14ac:dyDescent="0.2">
      <c r="A51" s="49" t="s">
        <v>39</v>
      </c>
      <c r="B51" s="49">
        <v>1</v>
      </c>
    </row>
    <row r="52" spans="1:2" x14ac:dyDescent="0.2">
      <c r="A52" s="49" t="s">
        <v>265</v>
      </c>
      <c r="B52" s="49">
        <v>1</v>
      </c>
    </row>
    <row r="53" spans="1:2" x14ac:dyDescent="0.2">
      <c r="A53" s="49" t="s">
        <v>94</v>
      </c>
      <c r="B53" s="49">
        <v>1</v>
      </c>
    </row>
    <row r="54" spans="1:2" x14ac:dyDescent="0.2">
      <c r="A54" s="49" t="s">
        <v>341</v>
      </c>
      <c r="B54" s="49">
        <v>1</v>
      </c>
    </row>
    <row r="55" spans="1:2" x14ac:dyDescent="0.2">
      <c r="A55" s="49" t="s">
        <v>40</v>
      </c>
      <c r="B55" s="49">
        <v>1</v>
      </c>
    </row>
    <row r="56" spans="1:2" x14ac:dyDescent="0.2">
      <c r="A56" s="49" t="s">
        <v>374</v>
      </c>
      <c r="B56" s="49">
        <v>1</v>
      </c>
    </row>
    <row r="57" spans="1:2" x14ac:dyDescent="0.2">
      <c r="A57" s="49" t="s">
        <v>34</v>
      </c>
      <c r="B57" s="49">
        <v>1</v>
      </c>
    </row>
    <row r="58" spans="1:2" x14ac:dyDescent="0.2">
      <c r="A58" s="49" t="s">
        <v>15</v>
      </c>
      <c r="B58" s="49">
        <v>1</v>
      </c>
    </row>
    <row r="59" spans="1:2" x14ac:dyDescent="0.2">
      <c r="A59" t="s">
        <v>1266</v>
      </c>
      <c r="B59" s="49">
        <v>1</v>
      </c>
    </row>
    <row r="60" spans="1:2" x14ac:dyDescent="0.2">
      <c r="A60" s="49" t="s">
        <v>843</v>
      </c>
      <c r="B60" s="49">
        <v>1</v>
      </c>
    </row>
    <row r="61" spans="1:2" x14ac:dyDescent="0.2">
      <c r="A61" s="49" t="s">
        <v>84</v>
      </c>
      <c r="B61" s="49">
        <v>1</v>
      </c>
    </row>
    <row r="62" spans="1:2" x14ac:dyDescent="0.2">
      <c r="A62" s="49" t="s">
        <v>130</v>
      </c>
      <c r="B62" s="49">
        <v>1</v>
      </c>
    </row>
    <row r="63" spans="1:2" x14ac:dyDescent="0.2">
      <c r="A63" s="49" t="s">
        <v>193</v>
      </c>
      <c r="B63" s="49">
        <v>1</v>
      </c>
    </row>
    <row r="64" spans="1:2" x14ac:dyDescent="0.2">
      <c r="A64" s="49" t="s">
        <v>338</v>
      </c>
      <c r="B64" s="49">
        <v>1</v>
      </c>
    </row>
    <row r="65" spans="1:2" x14ac:dyDescent="0.2">
      <c r="A65" s="49" t="s">
        <v>57</v>
      </c>
      <c r="B65" s="49">
        <v>1</v>
      </c>
    </row>
    <row r="66" spans="1:2" x14ac:dyDescent="0.2">
      <c r="A66" s="49" t="s">
        <v>197</v>
      </c>
      <c r="B66" s="49">
        <v>1</v>
      </c>
    </row>
    <row r="67" spans="1:2" x14ac:dyDescent="0.2">
      <c r="A67" s="49" t="s">
        <v>148</v>
      </c>
      <c r="B67" s="49">
        <v>1</v>
      </c>
    </row>
    <row r="68" spans="1:2" x14ac:dyDescent="0.2">
      <c r="A68" s="49" t="s">
        <v>343</v>
      </c>
      <c r="B68" s="49">
        <v>1</v>
      </c>
    </row>
    <row r="69" spans="1:2" x14ac:dyDescent="0.2">
      <c r="A69" s="49" t="s">
        <v>35</v>
      </c>
      <c r="B69" s="49">
        <v>1</v>
      </c>
    </row>
    <row r="70" spans="1:2" x14ac:dyDescent="0.2">
      <c r="A70" s="49" t="s">
        <v>575</v>
      </c>
      <c r="B70" s="49">
        <v>1</v>
      </c>
    </row>
    <row r="71" spans="1:2" x14ac:dyDescent="0.2">
      <c r="A71" s="49" t="s">
        <v>150</v>
      </c>
      <c r="B71" s="49">
        <v>1</v>
      </c>
    </row>
    <row r="72" spans="1:2" x14ac:dyDescent="0.2">
      <c r="A72" s="49" t="s">
        <v>622</v>
      </c>
      <c r="B72" s="49">
        <v>1</v>
      </c>
    </row>
    <row r="73" spans="1:2" x14ac:dyDescent="0.2">
      <c r="A73" s="49" t="s">
        <v>118</v>
      </c>
      <c r="B73" s="49">
        <v>1</v>
      </c>
    </row>
    <row r="74" spans="1:2" x14ac:dyDescent="0.2">
      <c r="A74" s="49" t="s">
        <v>775</v>
      </c>
      <c r="B74" s="49">
        <v>1</v>
      </c>
    </row>
    <row r="75" spans="1:2" x14ac:dyDescent="0.2">
      <c r="A75" s="49" t="s">
        <v>13</v>
      </c>
      <c r="B75" s="49">
        <v>1</v>
      </c>
    </row>
    <row r="76" spans="1:2" x14ac:dyDescent="0.2">
      <c r="A76" s="49" t="s">
        <v>159</v>
      </c>
      <c r="B76" s="49">
        <v>1</v>
      </c>
    </row>
    <row r="77" spans="1:2" x14ac:dyDescent="0.2">
      <c r="A77" s="49" t="s">
        <v>163</v>
      </c>
      <c r="B77" s="49">
        <v>1</v>
      </c>
    </row>
    <row r="78" spans="1:2" x14ac:dyDescent="0.2">
      <c r="A78" s="49" t="s">
        <v>839</v>
      </c>
      <c r="B78" s="49">
        <v>1</v>
      </c>
    </row>
    <row r="79" spans="1:2" x14ac:dyDescent="0.2">
      <c r="A79" s="49" t="s">
        <v>105</v>
      </c>
      <c r="B79" s="49">
        <v>1</v>
      </c>
    </row>
    <row r="80" spans="1:2" x14ac:dyDescent="0.2">
      <c r="A80" s="49" t="s">
        <v>33</v>
      </c>
      <c r="B80" s="49">
        <v>1</v>
      </c>
    </row>
    <row r="81" spans="1:2" x14ac:dyDescent="0.2">
      <c r="A81" s="49" t="s">
        <v>166</v>
      </c>
      <c r="B81" s="49">
        <v>1</v>
      </c>
    </row>
    <row r="82" spans="1:2" x14ac:dyDescent="0.2">
      <c r="A82" s="49" t="s">
        <v>134</v>
      </c>
      <c r="B82" s="49">
        <v>1</v>
      </c>
    </row>
    <row r="83" spans="1:2" x14ac:dyDescent="0.2">
      <c r="A83" s="49" t="s">
        <v>1269</v>
      </c>
      <c r="B83" s="49">
        <v>1</v>
      </c>
    </row>
    <row r="84" spans="1:2" x14ac:dyDescent="0.2">
      <c r="A84" s="49" t="s">
        <v>108</v>
      </c>
      <c r="B84" s="49">
        <v>1</v>
      </c>
    </row>
    <row r="85" spans="1:2" x14ac:dyDescent="0.2">
      <c r="A85" s="49" t="s">
        <v>28</v>
      </c>
      <c r="B85" s="49">
        <v>1</v>
      </c>
    </row>
    <row r="86" spans="1:2" x14ac:dyDescent="0.2">
      <c r="A86" s="49" t="s">
        <v>206</v>
      </c>
      <c r="B86" s="49">
        <v>1</v>
      </c>
    </row>
    <row r="87" spans="1:2" x14ac:dyDescent="0.2">
      <c r="A87" s="49" t="s">
        <v>158</v>
      </c>
      <c r="B87" s="49">
        <v>1</v>
      </c>
    </row>
    <row r="88" spans="1:2" x14ac:dyDescent="0.2">
      <c r="A88" t="s">
        <v>224</v>
      </c>
      <c r="B88">
        <v>306</v>
      </c>
    </row>
  </sheetData>
  <sortState xmlns:xlrd2="http://schemas.microsoft.com/office/spreadsheetml/2017/richdata2" ref="F5:F32">
    <sortCondition ref="F5:F32"/>
  </sortState>
  <pageMargins left="0.7" right="0.7" top="0.75" bottom="0.75" header="0.3" footer="0.3"/>
  <pageSetup paperSize="9" scale="52" fitToHeight="2"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615C0-6C23-4E47-A0CF-4CDFA13B79DA}">
  <dimension ref="B2:O93"/>
  <sheetViews>
    <sheetView workbookViewId="0">
      <selection activeCell="N5" sqref="N5"/>
    </sheetView>
  </sheetViews>
  <sheetFormatPr baseColWidth="10" defaultRowHeight="16" x14ac:dyDescent="0.2"/>
  <cols>
    <col min="1" max="1" width="3.83203125" customWidth="1"/>
    <col min="2" max="2" width="31" bestFit="1" customWidth="1"/>
    <col min="3" max="5" width="27.33203125" bestFit="1" customWidth="1"/>
    <col min="6" max="6" width="3.33203125" customWidth="1"/>
    <col min="7" max="7" width="22.1640625" bestFit="1" customWidth="1"/>
    <col min="8" max="8" width="43.33203125" bestFit="1" customWidth="1"/>
    <col min="10" max="10" width="27.5" customWidth="1"/>
    <col min="11" max="15" width="15.83203125" customWidth="1"/>
    <col min="16" max="16" width="10.5" bestFit="1" customWidth="1"/>
    <col min="17" max="17" width="28.5" bestFit="1" customWidth="1"/>
    <col min="18" max="18" width="17" bestFit="1" customWidth="1"/>
    <col min="19" max="19" width="19" bestFit="1" customWidth="1"/>
    <col min="20" max="20" width="21.5" bestFit="1" customWidth="1"/>
    <col min="21" max="21" width="12.6640625" bestFit="1" customWidth="1"/>
    <col min="22" max="22" width="15" bestFit="1" customWidth="1"/>
    <col min="23" max="23" width="13.33203125" bestFit="1" customWidth="1"/>
    <col min="24" max="24" width="15.6640625" bestFit="1" customWidth="1"/>
    <col min="25" max="25" width="10.5" bestFit="1" customWidth="1"/>
  </cols>
  <sheetData>
    <row r="2" spans="2:15" x14ac:dyDescent="0.2">
      <c r="B2" s="58" t="s">
        <v>1216</v>
      </c>
      <c r="G2" s="58" t="s">
        <v>1213</v>
      </c>
      <c r="J2" s="58" t="s">
        <v>1214</v>
      </c>
    </row>
    <row r="4" spans="2:15" x14ac:dyDescent="0.2">
      <c r="B4" t="s">
        <v>625</v>
      </c>
      <c r="C4" s="13" t="s">
        <v>1245</v>
      </c>
      <c r="G4" t="s">
        <v>189</v>
      </c>
      <c r="H4" t="s">
        <v>25</v>
      </c>
      <c r="J4" t="s">
        <v>248</v>
      </c>
      <c r="K4" t="s">
        <v>596</v>
      </c>
    </row>
    <row r="5" spans="2:15" x14ac:dyDescent="0.2">
      <c r="B5" s="14" t="s">
        <v>220</v>
      </c>
      <c r="C5" s="12">
        <v>0.12745098039215685</v>
      </c>
      <c r="G5" t="s">
        <v>220</v>
      </c>
      <c r="H5" t="s">
        <v>54</v>
      </c>
      <c r="J5" t="s">
        <v>250</v>
      </c>
      <c r="K5" s="15" t="s">
        <v>1246</v>
      </c>
      <c r="L5" s="15" t="s">
        <v>167</v>
      </c>
      <c r="M5" s="15" t="s">
        <v>169</v>
      </c>
      <c r="N5" s="15" t="s">
        <v>1247</v>
      </c>
      <c r="O5" s="13" t="s">
        <v>224</v>
      </c>
    </row>
    <row r="6" spans="2:15" x14ac:dyDescent="0.2">
      <c r="B6" s="14" t="s">
        <v>169</v>
      </c>
      <c r="C6" s="12">
        <v>0.11764705882352941</v>
      </c>
      <c r="H6" t="s">
        <v>46</v>
      </c>
      <c r="J6" s="14" t="s">
        <v>220</v>
      </c>
      <c r="K6" s="15">
        <v>3</v>
      </c>
      <c r="L6" s="15">
        <v>36</v>
      </c>
      <c r="M6" s="15"/>
      <c r="N6" s="15"/>
      <c r="O6" s="90">
        <v>39</v>
      </c>
    </row>
    <row r="7" spans="2:15" x14ac:dyDescent="0.2">
      <c r="B7" s="14" t="s">
        <v>1218</v>
      </c>
      <c r="C7" s="12">
        <v>7.8431372549019607E-2</v>
      </c>
      <c r="H7" t="s">
        <v>121</v>
      </c>
      <c r="J7" s="14" t="s">
        <v>169</v>
      </c>
      <c r="K7" s="15"/>
      <c r="L7" s="15"/>
      <c r="M7" s="15">
        <v>36</v>
      </c>
      <c r="N7" s="15"/>
      <c r="O7" s="90">
        <v>36</v>
      </c>
    </row>
    <row r="8" spans="2:15" x14ac:dyDescent="0.2">
      <c r="B8" s="14" t="s">
        <v>1219</v>
      </c>
      <c r="C8" s="12">
        <v>0.67647058823529416</v>
      </c>
      <c r="H8" t="s">
        <v>124</v>
      </c>
      <c r="J8" s="14" t="s">
        <v>1218</v>
      </c>
      <c r="K8" s="15"/>
      <c r="L8" s="15">
        <v>24</v>
      </c>
      <c r="M8" s="15"/>
      <c r="N8" s="15"/>
      <c r="O8" s="90">
        <v>24</v>
      </c>
    </row>
    <row r="9" spans="2:15" x14ac:dyDescent="0.2">
      <c r="B9" s="14" t="s">
        <v>224</v>
      </c>
      <c r="C9" s="12">
        <v>1</v>
      </c>
      <c r="H9" t="s">
        <v>265</v>
      </c>
      <c r="J9" s="14" t="s">
        <v>1219</v>
      </c>
      <c r="K9" s="15">
        <v>25</v>
      </c>
      <c r="L9" s="15">
        <v>177</v>
      </c>
      <c r="M9" s="15"/>
      <c r="N9" s="15">
        <v>5</v>
      </c>
      <c r="O9" s="90">
        <v>207</v>
      </c>
    </row>
    <row r="10" spans="2:15" x14ac:dyDescent="0.2">
      <c r="H10" t="s">
        <v>1266</v>
      </c>
      <c r="J10" s="14" t="s">
        <v>224</v>
      </c>
      <c r="K10" s="15">
        <v>28</v>
      </c>
      <c r="L10" s="15">
        <v>237</v>
      </c>
      <c r="M10" s="15">
        <v>36</v>
      </c>
      <c r="N10" s="15">
        <v>5</v>
      </c>
      <c r="O10" s="13">
        <v>306</v>
      </c>
    </row>
    <row r="11" spans="2:15" x14ac:dyDescent="0.2">
      <c r="G11" t="s">
        <v>231</v>
      </c>
    </row>
    <row r="12" spans="2:15" x14ac:dyDescent="0.2">
      <c r="G12" t="s">
        <v>169</v>
      </c>
      <c r="H12" t="s">
        <v>133</v>
      </c>
    </row>
    <row r="13" spans="2:15" x14ac:dyDescent="0.2">
      <c r="H13" t="s">
        <v>195</v>
      </c>
    </row>
    <row r="14" spans="2:15" x14ac:dyDescent="0.2">
      <c r="H14" t="s">
        <v>33</v>
      </c>
      <c r="K14" s="60"/>
    </row>
    <row r="15" spans="2:15" x14ac:dyDescent="0.2">
      <c r="H15" t="s">
        <v>94</v>
      </c>
    </row>
    <row r="16" spans="2:15" x14ac:dyDescent="0.2">
      <c r="H16" t="s">
        <v>193</v>
      </c>
    </row>
    <row r="17" spans="8:8" x14ac:dyDescent="0.2">
      <c r="H17" t="s">
        <v>15</v>
      </c>
    </row>
    <row r="18" spans="8:8" x14ac:dyDescent="0.2">
      <c r="H18" t="s">
        <v>14</v>
      </c>
    </row>
    <row r="19" spans="8:8" x14ac:dyDescent="0.2">
      <c r="H19" t="s">
        <v>40</v>
      </c>
    </row>
    <row r="20" spans="8:8" x14ac:dyDescent="0.2">
      <c r="H20" t="s">
        <v>34</v>
      </c>
    </row>
    <row r="21" spans="8:8" x14ac:dyDescent="0.2">
      <c r="H21" t="s">
        <v>35</v>
      </c>
    </row>
    <row r="22" spans="8:8" x14ac:dyDescent="0.2">
      <c r="H22" t="s">
        <v>197</v>
      </c>
    </row>
    <row r="23" spans="8:8" x14ac:dyDescent="0.2">
      <c r="H23" t="s">
        <v>168</v>
      </c>
    </row>
    <row r="24" spans="8:8" x14ac:dyDescent="0.2">
      <c r="H24" t="s">
        <v>213</v>
      </c>
    </row>
    <row r="25" spans="8:8" x14ac:dyDescent="0.2">
      <c r="H25" t="s">
        <v>39</v>
      </c>
    </row>
    <row r="26" spans="8:8" x14ac:dyDescent="0.2">
      <c r="H26" t="s">
        <v>134</v>
      </c>
    </row>
    <row r="27" spans="8:8" x14ac:dyDescent="0.2">
      <c r="H27" t="s">
        <v>108</v>
      </c>
    </row>
    <row r="28" spans="8:8" x14ac:dyDescent="0.2">
      <c r="H28" t="s">
        <v>28</v>
      </c>
    </row>
    <row r="29" spans="8:8" x14ac:dyDescent="0.2">
      <c r="H29" t="s">
        <v>57</v>
      </c>
    </row>
    <row r="30" spans="8:8" x14ac:dyDescent="0.2">
      <c r="H30" t="s">
        <v>13</v>
      </c>
    </row>
    <row r="31" spans="8:8" x14ac:dyDescent="0.2">
      <c r="H31" t="s">
        <v>163</v>
      </c>
    </row>
    <row r="32" spans="8:8" x14ac:dyDescent="0.2">
      <c r="H32" t="s">
        <v>338</v>
      </c>
    </row>
    <row r="33" spans="7:8" x14ac:dyDescent="0.2">
      <c r="H33" t="s">
        <v>339</v>
      </c>
    </row>
    <row r="34" spans="7:8" x14ac:dyDescent="0.2">
      <c r="H34" t="s">
        <v>340</v>
      </c>
    </row>
    <row r="35" spans="7:8" x14ac:dyDescent="0.2">
      <c r="H35" t="s">
        <v>341</v>
      </c>
    </row>
    <row r="36" spans="7:8" x14ac:dyDescent="0.2">
      <c r="H36" t="s">
        <v>343</v>
      </c>
    </row>
    <row r="37" spans="7:8" x14ac:dyDescent="0.2">
      <c r="H37" t="s">
        <v>344</v>
      </c>
    </row>
    <row r="38" spans="7:8" x14ac:dyDescent="0.2">
      <c r="H38" t="s">
        <v>575</v>
      </c>
    </row>
    <row r="39" spans="7:8" x14ac:dyDescent="0.2">
      <c r="H39" t="s">
        <v>374</v>
      </c>
    </row>
    <row r="40" spans="7:8" x14ac:dyDescent="0.2">
      <c r="H40" s="89" t="s">
        <v>622</v>
      </c>
    </row>
    <row r="41" spans="7:8" x14ac:dyDescent="0.2">
      <c r="G41" t="s">
        <v>623</v>
      </c>
    </row>
    <row r="42" spans="7:8" x14ac:dyDescent="0.2">
      <c r="G42" t="s">
        <v>1218</v>
      </c>
      <c r="H42" t="s">
        <v>63</v>
      </c>
    </row>
    <row r="43" spans="7:8" x14ac:dyDescent="0.2">
      <c r="H43" t="s">
        <v>1271</v>
      </c>
    </row>
    <row r="44" spans="7:8" x14ac:dyDescent="0.2">
      <c r="G44" t="s">
        <v>1223</v>
      </c>
    </row>
    <row r="45" spans="7:8" x14ac:dyDescent="0.2">
      <c r="G45" t="s">
        <v>1219</v>
      </c>
      <c r="H45" t="s">
        <v>54</v>
      </c>
    </row>
    <row r="46" spans="7:8" x14ac:dyDescent="0.2">
      <c r="H46" t="s">
        <v>59</v>
      </c>
    </row>
    <row r="47" spans="7:8" x14ac:dyDescent="0.2">
      <c r="H47" t="s">
        <v>70</v>
      </c>
    </row>
    <row r="48" spans="7:8" x14ac:dyDescent="0.2">
      <c r="H48" t="s">
        <v>104</v>
      </c>
    </row>
    <row r="49" spans="8:8" x14ac:dyDescent="0.2">
      <c r="H49" t="s">
        <v>161</v>
      </c>
    </row>
    <row r="50" spans="8:8" x14ac:dyDescent="0.2">
      <c r="H50" t="s">
        <v>50</v>
      </c>
    </row>
    <row r="51" spans="8:8" x14ac:dyDescent="0.2">
      <c r="H51" t="s">
        <v>36</v>
      </c>
    </row>
    <row r="52" spans="8:8" x14ac:dyDescent="0.2">
      <c r="H52" t="s">
        <v>96</v>
      </c>
    </row>
    <row r="53" spans="8:8" x14ac:dyDescent="0.2">
      <c r="H53" t="s">
        <v>92</v>
      </c>
    </row>
    <row r="54" spans="8:8" x14ac:dyDescent="0.2">
      <c r="H54" t="s">
        <v>41</v>
      </c>
    </row>
    <row r="55" spans="8:8" x14ac:dyDescent="0.2">
      <c r="H55" t="s">
        <v>4</v>
      </c>
    </row>
    <row r="56" spans="8:8" x14ac:dyDescent="0.2">
      <c r="H56" t="s">
        <v>125</v>
      </c>
    </row>
    <row r="57" spans="8:8" x14ac:dyDescent="0.2">
      <c r="H57" t="s">
        <v>160</v>
      </c>
    </row>
    <row r="58" spans="8:8" x14ac:dyDescent="0.2">
      <c r="H58" t="s">
        <v>128</v>
      </c>
    </row>
    <row r="59" spans="8:8" x14ac:dyDescent="0.2">
      <c r="H59" t="s">
        <v>84</v>
      </c>
    </row>
    <row r="60" spans="8:8" x14ac:dyDescent="0.2">
      <c r="H60" t="s">
        <v>52</v>
      </c>
    </row>
    <row r="61" spans="8:8" x14ac:dyDescent="0.2">
      <c r="H61" t="s">
        <v>194</v>
      </c>
    </row>
    <row r="62" spans="8:8" x14ac:dyDescent="0.2">
      <c r="H62" t="s">
        <v>118</v>
      </c>
    </row>
    <row r="63" spans="8:8" x14ac:dyDescent="0.2">
      <c r="H63" t="s">
        <v>166</v>
      </c>
    </row>
    <row r="64" spans="8:8" x14ac:dyDescent="0.2">
      <c r="H64" t="s">
        <v>32</v>
      </c>
    </row>
    <row r="65" spans="8:8" x14ac:dyDescent="0.2">
      <c r="H65" t="s">
        <v>130</v>
      </c>
    </row>
    <row r="66" spans="8:8" x14ac:dyDescent="0.2">
      <c r="H66" t="s">
        <v>196</v>
      </c>
    </row>
    <row r="67" spans="8:8" x14ac:dyDescent="0.2">
      <c r="H67" t="s">
        <v>159</v>
      </c>
    </row>
    <row r="68" spans="8:8" x14ac:dyDescent="0.2">
      <c r="H68" t="s">
        <v>29</v>
      </c>
    </row>
    <row r="69" spans="8:8" x14ac:dyDescent="0.2">
      <c r="H69" t="s">
        <v>110</v>
      </c>
    </row>
    <row r="70" spans="8:8" x14ac:dyDescent="0.2">
      <c r="H70" t="s">
        <v>77</v>
      </c>
    </row>
    <row r="71" spans="8:8" x14ac:dyDescent="0.2">
      <c r="H71" t="s">
        <v>206</v>
      </c>
    </row>
    <row r="72" spans="8:8" x14ac:dyDescent="0.2">
      <c r="H72" t="s">
        <v>158</v>
      </c>
    </row>
    <row r="73" spans="8:8" x14ac:dyDescent="0.2">
      <c r="H73" t="s">
        <v>67</v>
      </c>
    </row>
    <row r="74" spans="8:8" x14ac:dyDescent="0.2">
      <c r="H74" t="s">
        <v>148</v>
      </c>
    </row>
    <row r="75" spans="8:8" x14ac:dyDescent="0.2">
      <c r="H75" t="s">
        <v>165</v>
      </c>
    </row>
    <row r="76" spans="8:8" x14ac:dyDescent="0.2">
      <c r="H76" t="s">
        <v>150</v>
      </c>
    </row>
    <row r="77" spans="8:8" x14ac:dyDescent="0.2">
      <c r="H77" t="s">
        <v>105</v>
      </c>
    </row>
    <row r="78" spans="8:8" x14ac:dyDescent="0.2">
      <c r="H78" t="s">
        <v>298</v>
      </c>
    </row>
    <row r="79" spans="8:8" x14ac:dyDescent="0.2">
      <c r="H79" t="s">
        <v>313</v>
      </c>
    </row>
    <row r="80" spans="8:8" x14ac:dyDescent="0.2">
      <c r="H80" t="s">
        <v>310</v>
      </c>
    </row>
    <row r="81" spans="7:8" x14ac:dyDescent="0.2">
      <c r="H81" t="s">
        <v>678</v>
      </c>
    </row>
    <row r="82" spans="7:8" x14ac:dyDescent="0.2">
      <c r="H82" t="s">
        <v>775</v>
      </c>
    </row>
    <row r="83" spans="7:8" x14ac:dyDescent="0.2">
      <c r="H83" t="s">
        <v>743</v>
      </c>
    </row>
    <row r="84" spans="7:8" x14ac:dyDescent="0.2">
      <c r="H84" t="s">
        <v>729</v>
      </c>
    </row>
    <row r="85" spans="7:8" x14ac:dyDescent="0.2">
      <c r="H85" t="s">
        <v>768</v>
      </c>
    </row>
    <row r="86" spans="7:8" x14ac:dyDescent="0.2">
      <c r="H86" t="s">
        <v>839</v>
      </c>
    </row>
    <row r="87" spans="7:8" x14ac:dyDescent="0.2">
      <c r="H87" s="89" t="s">
        <v>843</v>
      </c>
    </row>
    <row r="88" spans="7:8" x14ac:dyDescent="0.2">
      <c r="H88" t="s">
        <v>1267</v>
      </c>
    </row>
    <row r="89" spans="7:8" x14ac:dyDescent="0.2">
      <c r="H89" t="s">
        <v>1268</v>
      </c>
    </row>
    <row r="90" spans="7:8" x14ac:dyDescent="0.2">
      <c r="H90" t="s">
        <v>1269</v>
      </c>
    </row>
    <row r="91" spans="7:8" x14ac:dyDescent="0.2">
      <c r="H91" t="s">
        <v>1270</v>
      </c>
    </row>
    <row r="92" spans="7:8" x14ac:dyDescent="0.2">
      <c r="G92" t="s">
        <v>1224</v>
      </c>
    </row>
    <row r="93" spans="7:8" x14ac:dyDescent="0.2">
      <c r="G93" t="s">
        <v>224</v>
      </c>
    </row>
  </sheetData>
  <pageMargins left="0.7" right="0.7" top="0.75" bottom="0.75" header="0.3" footer="0.3"/>
  <pageSetup paperSize="9" orientation="portrait" horizontalDpi="0" verticalDpi="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3ACFD-F69A-BF44-9D7A-F508FFF26704}">
  <dimension ref="A1:G188"/>
  <sheetViews>
    <sheetView workbookViewId="0">
      <selection activeCell="K10" sqref="K10"/>
    </sheetView>
  </sheetViews>
  <sheetFormatPr baseColWidth="10" defaultRowHeight="16" x14ac:dyDescent="0.2"/>
  <cols>
    <col min="1" max="1" width="25.83203125" customWidth="1"/>
    <col min="2" max="7" width="15.83203125" style="15" customWidth="1"/>
    <col min="8" max="8" width="11.1640625" customWidth="1"/>
    <col min="9" max="9" width="3.33203125" customWidth="1"/>
    <col min="10" max="10" width="9" bestFit="1" customWidth="1"/>
    <col min="11" max="11" width="11.33203125" bestFit="1" customWidth="1"/>
    <col min="12" max="12" width="6.5" bestFit="1" customWidth="1"/>
    <col min="13" max="13" width="11.83203125" bestFit="1" customWidth="1"/>
    <col min="14" max="14" width="8.33203125" bestFit="1" customWidth="1"/>
    <col min="15" max="15" width="10.1640625" bestFit="1" customWidth="1"/>
    <col min="16" max="16" width="11.33203125" bestFit="1" customWidth="1"/>
    <col min="18" max="18" width="7.5" bestFit="1" customWidth="1"/>
    <col min="19" max="19" width="7.33203125" bestFit="1" customWidth="1"/>
    <col min="20" max="20" width="7.5" bestFit="1" customWidth="1"/>
    <col min="21" max="21" width="6" bestFit="1" customWidth="1"/>
    <col min="22" max="22" width="20.5" bestFit="1" customWidth="1"/>
    <col min="23" max="23" width="10.1640625" bestFit="1" customWidth="1"/>
    <col min="24" max="24" width="18.5" bestFit="1" customWidth="1"/>
    <col min="25" max="25" width="17.1640625" bestFit="1" customWidth="1"/>
    <col min="26" max="26" width="13.6640625" bestFit="1" customWidth="1"/>
    <col min="27" max="27" width="9.5" bestFit="1" customWidth="1"/>
    <col min="28" max="28" width="8.83203125" bestFit="1" customWidth="1"/>
    <col min="29" max="29" width="14.83203125" bestFit="1" customWidth="1"/>
    <col min="30" max="30" width="10.33203125" bestFit="1" customWidth="1"/>
    <col min="31" max="31" width="8.83203125" bestFit="1" customWidth="1"/>
    <col min="32" max="32" width="12.83203125" bestFit="1" customWidth="1"/>
    <col min="33" max="33" width="6.83203125" bestFit="1" customWidth="1"/>
    <col min="34" max="34" width="15.83203125" bestFit="1" customWidth="1"/>
    <col min="35" max="35" width="10.1640625" bestFit="1" customWidth="1"/>
    <col min="36" max="36" width="14.6640625" bestFit="1" customWidth="1"/>
    <col min="37" max="37" width="6.1640625" bestFit="1" customWidth="1"/>
    <col min="38" max="38" width="11.5" bestFit="1" customWidth="1"/>
    <col min="39" max="39" width="9.83203125" bestFit="1" customWidth="1"/>
    <col min="40" max="40" width="44.1640625" bestFit="1" customWidth="1"/>
    <col min="41" max="41" width="13.5" bestFit="1" customWidth="1"/>
    <col min="42" max="42" width="13.83203125" bestFit="1" customWidth="1"/>
    <col min="43" max="43" width="13.33203125" bestFit="1" customWidth="1"/>
    <col min="44" max="44" width="12.6640625" bestFit="1" customWidth="1"/>
    <col min="45" max="45" width="13.6640625" bestFit="1" customWidth="1"/>
    <col min="46" max="46" width="13.5" bestFit="1" customWidth="1"/>
    <col min="47" max="47" width="13" bestFit="1" customWidth="1"/>
    <col min="48" max="48" width="11.5" bestFit="1" customWidth="1"/>
    <col min="49" max="49" width="9.83203125" bestFit="1" customWidth="1"/>
    <col min="50" max="50" width="15.5" bestFit="1" customWidth="1"/>
    <col min="51" max="51" width="20.6640625" bestFit="1" customWidth="1"/>
    <col min="52" max="52" width="11.33203125" bestFit="1" customWidth="1"/>
    <col min="53" max="53" width="13.5" bestFit="1" customWidth="1"/>
    <col min="54" max="54" width="8.6640625" bestFit="1" customWidth="1"/>
    <col min="55" max="55" width="14.83203125" bestFit="1" customWidth="1"/>
    <col min="56" max="56" width="9.1640625" bestFit="1" customWidth="1"/>
    <col min="57" max="57" width="9.83203125" bestFit="1" customWidth="1"/>
    <col min="58" max="58" width="11.5" bestFit="1" customWidth="1"/>
    <col min="59" max="59" width="10.6640625" bestFit="1" customWidth="1"/>
    <col min="60" max="60" width="6.1640625" bestFit="1" customWidth="1"/>
    <col min="61" max="61" width="7.1640625" bestFit="1" customWidth="1"/>
    <col min="62" max="62" width="9.1640625" bestFit="1" customWidth="1"/>
    <col min="63" max="63" width="7.1640625" bestFit="1" customWidth="1"/>
    <col min="64" max="64" width="10.6640625" bestFit="1" customWidth="1"/>
    <col min="65" max="65" width="8" bestFit="1" customWidth="1"/>
    <col min="66" max="66" width="9.6640625" bestFit="1" customWidth="1"/>
    <col min="67" max="67" width="19" bestFit="1" customWidth="1"/>
    <col min="68" max="68" width="15.33203125" bestFit="1" customWidth="1"/>
    <col min="69" max="69" width="14.5" bestFit="1" customWidth="1"/>
    <col min="70" max="70" width="9.5" bestFit="1" customWidth="1"/>
    <col min="71" max="71" width="12.5" bestFit="1" customWidth="1"/>
    <col min="72" max="72" width="10.1640625" bestFit="1" customWidth="1"/>
    <col min="73" max="73" width="7" bestFit="1" customWidth="1"/>
    <col min="74" max="74" width="7.5" bestFit="1" customWidth="1"/>
    <col min="75" max="75" width="16.33203125" bestFit="1" customWidth="1"/>
    <col min="76" max="76" width="9.5" bestFit="1" customWidth="1"/>
    <col min="77" max="77" width="21" bestFit="1" customWidth="1"/>
    <col min="78" max="78" width="7.5" bestFit="1" customWidth="1"/>
    <col min="79" max="79" width="9.1640625" bestFit="1" customWidth="1"/>
    <col min="80" max="80" width="16.6640625" bestFit="1" customWidth="1"/>
    <col min="81" max="81" width="10.5" bestFit="1" customWidth="1"/>
    <col min="82" max="83" width="17.83203125" bestFit="1" customWidth="1"/>
    <col min="84" max="84" width="9.5" bestFit="1" customWidth="1"/>
    <col min="85" max="85" width="15.83203125" bestFit="1" customWidth="1"/>
    <col min="86" max="86" width="9.83203125" bestFit="1" customWidth="1"/>
    <col min="87" max="87" width="8.5" bestFit="1" customWidth="1"/>
    <col min="88" max="88" width="13.5" bestFit="1" customWidth="1"/>
    <col min="89" max="89" width="26.83203125" bestFit="1" customWidth="1"/>
    <col min="90" max="90" width="34.1640625" bestFit="1" customWidth="1"/>
    <col min="91" max="91" width="11.33203125" bestFit="1" customWidth="1"/>
    <col min="92" max="92" width="16.33203125" bestFit="1" customWidth="1"/>
    <col min="93" max="93" width="14.1640625" bestFit="1" customWidth="1"/>
    <col min="94" max="94" width="15" bestFit="1" customWidth="1"/>
    <col min="95" max="95" width="11.6640625" bestFit="1" customWidth="1"/>
    <col min="96" max="96" width="7.83203125" bestFit="1" customWidth="1"/>
    <col min="97" max="97" width="15" bestFit="1" customWidth="1"/>
    <col min="98" max="98" width="10" bestFit="1" customWidth="1"/>
    <col min="99" max="99" width="15.5" bestFit="1" customWidth="1"/>
    <col min="100" max="100" width="14.1640625" bestFit="1" customWidth="1"/>
    <col min="101" max="101" width="32.6640625" bestFit="1" customWidth="1"/>
    <col min="102" max="102" width="17.5" bestFit="1" customWidth="1"/>
    <col min="103" max="103" width="8.33203125" bestFit="1" customWidth="1"/>
    <col min="104" max="104" width="11.33203125" bestFit="1" customWidth="1"/>
    <col min="105" max="105" width="9.6640625" bestFit="1" customWidth="1"/>
    <col min="106" max="106" width="7.1640625" bestFit="1" customWidth="1"/>
    <col min="107" max="107" width="12.33203125" bestFit="1" customWidth="1"/>
    <col min="108" max="108" width="28" bestFit="1" customWidth="1"/>
    <col min="109" max="109" width="11" bestFit="1" customWidth="1"/>
    <col min="110" max="110" width="5.6640625" bestFit="1" customWidth="1"/>
    <col min="111" max="111" width="7.1640625" bestFit="1" customWidth="1"/>
    <col min="112" max="112" width="5.1640625" bestFit="1" customWidth="1"/>
    <col min="113" max="113" width="11.1640625" bestFit="1" customWidth="1"/>
    <col min="114" max="114" width="7.1640625" bestFit="1" customWidth="1"/>
    <col min="115" max="115" width="11.6640625" bestFit="1" customWidth="1"/>
    <col min="116" max="116" width="12.83203125" bestFit="1" customWidth="1"/>
    <col min="117" max="117" width="11.1640625" bestFit="1" customWidth="1"/>
    <col min="118" max="118" width="17.83203125" bestFit="1" customWidth="1"/>
    <col min="119" max="119" width="11.1640625" bestFit="1" customWidth="1"/>
    <col min="120" max="120" width="11" bestFit="1" customWidth="1"/>
    <col min="121" max="121" width="10.33203125" bestFit="1" customWidth="1"/>
    <col min="122" max="122" width="7.6640625" bestFit="1" customWidth="1"/>
    <col min="123" max="123" width="22" bestFit="1" customWidth="1"/>
    <col min="124" max="124" width="8.5" bestFit="1" customWidth="1"/>
    <col min="125" max="125" width="9.33203125" bestFit="1" customWidth="1"/>
    <col min="127" max="127" width="11.1640625" bestFit="1" customWidth="1"/>
    <col min="128" max="128" width="12.33203125" bestFit="1" customWidth="1"/>
    <col min="129" max="129" width="11.33203125" bestFit="1" customWidth="1"/>
    <col min="130" max="130" width="6.5" bestFit="1" customWidth="1"/>
    <col min="131" max="131" width="19.33203125" bestFit="1" customWidth="1"/>
    <col min="132" max="133" width="8.5" bestFit="1" customWidth="1"/>
    <col min="134" max="134" width="14.5" bestFit="1" customWidth="1"/>
    <col min="135" max="135" width="17.83203125" bestFit="1" customWidth="1"/>
    <col min="136" max="136" width="11.6640625" bestFit="1" customWidth="1"/>
    <col min="137" max="137" width="7.33203125" bestFit="1" customWidth="1"/>
    <col min="138" max="138" width="12.5" bestFit="1" customWidth="1"/>
    <col min="139" max="139" width="10" bestFit="1" customWidth="1"/>
    <col min="140" max="140" width="9.33203125" bestFit="1" customWidth="1"/>
    <col min="141" max="141" width="6.33203125" bestFit="1" customWidth="1"/>
    <col min="142" max="142" width="10.33203125" bestFit="1" customWidth="1"/>
    <col min="143" max="143" width="10.6640625" bestFit="1" customWidth="1"/>
    <col min="144" max="144" width="19.1640625" bestFit="1" customWidth="1"/>
    <col min="145" max="145" width="7.5" bestFit="1" customWidth="1"/>
    <col min="146" max="146" width="13.6640625" bestFit="1" customWidth="1"/>
    <col min="147" max="147" width="14.5" bestFit="1" customWidth="1"/>
    <col min="148" max="148" width="17.33203125" bestFit="1" customWidth="1"/>
    <col min="149" max="149" width="13.83203125" bestFit="1" customWidth="1"/>
    <col min="150" max="150" width="11.5" bestFit="1" customWidth="1"/>
    <col min="151" max="151" width="30.33203125" bestFit="1" customWidth="1"/>
    <col min="152" max="152" width="7.83203125" bestFit="1" customWidth="1"/>
    <col min="153" max="153" width="8.6640625" bestFit="1" customWidth="1"/>
    <col min="154" max="154" width="20.83203125" bestFit="1" customWidth="1"/>
    <col min="155" max="155" width="15.83203125" bestFit="1" customWidth="1"/>
    <col min="156" max="156" width="12.33203125" bestFit="1" customWidth="1"/>
    <col min="158" max="158" width="17.33203125" bestFit="1" customWidth="1"/>
    <col min="159" max="159" width="6.33203125" bestFit="1" customWidth="1"/>
    <col min="160" max="160" width="7.1640625" bestFit="1" customWidth="1"/>
    <col min="161" max="161" width="6" bestFit="1" customWidth="1"/>
    <col min="162" max="162" width="18.33203125" bestFit="1" customWidth="1"/>
    <col min="163" max="163" width="9.1640625" bestFit="1" customWidth="1"/>
    <col min="164" max="164" width="7.6640625" bestFit="1" customWidth="1"/>
    <col min="165" max="165" width="11.1640625" bestFit="1" customWidth="1"/>
    <col min="166" max="166" width="12.6640625" bestFit="1" customWidth="1"/>
    <col min="167" max="167" width="7.1640625" bestFit="1" customWidth="1"/>
    <col min="168" max="168" width="11.5" bestFit="1" customWidth="1"/>
    <col min="169" max="169" width="14" bestFit="1" customWidth="1"/>
    <col min="170" max="170" width="15.33203125" bestFit="1" customWidth="1"/>
    <col min="171" max="171" width="8.83203125" bestFit="1" customWidth="1"/>
    <col min="172" max="172" width="12.1640625" bestFit="1" customWidth="1"/>
    <col min="173" max="173" width="18.5" bestFit="1" customWidth="1"/>
    <col min="174" max="174" width="12.5" bestFit="1" customWidth="1"/>
    <col min="175" max="175" width="13.1640625" bestFit="1" customWidth="1"/>
    <col min="176" max="176" width="9.83203125" bestFit="1" customWidth="1"/>
    <col min="177" max="177" width="8.33203125" bestFit="1" customWidth="1"/>
    <col min="178" max="178" width="13" bestFit="1" customWidth="1"/>
    <col min="179" max="179" width="11.5" bestFit="1" customWidth="1"/>
    <col min="180" max="180" width="9.83203125" bestFit="1" customWidth="1"/>
    <col min="181" max="181" width="8.33203125" bestFit="1" customWidth="1"/>
    <col min="182" max="182" width="13.83203125" bestFit="1" customWidth="1"/>
    <col min="183" max="183" width="7" bestFit="1" customWidth="1"/>
    <col min="184" max="184" width="10.5" bestFit="1" customWidth="1"/>
  </cols>
  <sheetData>
    <row r="1" spans="1:7" x14ac:dyDescent="0.2">
      <c r="A1" s="58" t="s">
        <v>1215</v>
      </c>
    </row>
    <row r="3" spans="1:7" x14ac:dyDescent="0.2">
      <c r="A3" s="11" t="s">
        <v>256</v>
      </c>
      <c r="B3" s="91" t="s">
        <v>342</v>
      </c>
    </row>
    <row r="4" spans="1:7" x14ac:dyDescent="0.2">
      <c r="A4" s="11" t="s">
        <v>258</v>
      </c>
      <c r="B4" s="15" t="s">
        <v>0</v>
      </c>
      <c r="C4" s="15" t="s">
        <v>203</v>
      </c>
      <c r="D4" s="15" t="s">
        <v>66</v>
      </c>
      <c r="E4" s="15" t="s">
        <v>3</v>
      </c>
      <c r="F4" s="15" t="s">
        <v>247</v>
      </c>
      <c r="G4" s="13" t="s">
        <v>257</v>
      </c>
    </row>
    <row r="5" spans="1:7" x14ac:dyDescent="0.2">
      <c r="A5" s="14" t="s">
        <v>54</v>
      </c>
      <c r="C5" s="15">
        <v>17</v>
      </c>
      <c r="D5" s="15">
        <v>1</v>
      </c>
      <c r="G5" s="13">
        <v>18</v>
      </c>
    </row>
    <row r="6" spans="1:7" x14ac:dyDescent="0.2">
      <c r="A6" s="14" t="s">
        <v>59</v>
      </c>
      <c r="B6" s="15">
        <v>1</v>
      </c>
      <c r="G6" s="13">
        <v>1</v>
      </c>
    </row>
    <row r="7" spans="1:7" x14ac:dyDescent="0.2">
      <c r="A7" s="14" t="s">
        <v>70</v>
      </c>
      <c r="C7" s="15">
        <v>5</v>
      </c>
      <c r="G7" s="13">
        <v>5</v>
      </c>
    </row>
    <row r="8" spans="1:7" x14ac:dyDescent="0.2">
      <c r="A8" s="14" t="s">
        <v>1271</v>
      </c>
      <c r="C8" s="15">
        <v>2</v>
      </c>
      <c r="F8" s="15">
        <v>9</v>
      </c>
      <c r="G8" s="13">
        <v>11</v>
      </c>
    </row>
    <row r="9" spans="1:7" x14ac:dyDescent="0.2">
      <c r="A9" s="14" t="s">
        <v>46</v>
      </c>
      <c r="B9" s="15">
        <v>1</v>
      </c>
      <c r="C9" s="15">
        <v>7</v>
      </c>
      <c r="E9" s="15">
        <v>2</v>
      </c>
      <c r="G9" s="13">
        <v>10</v>
      </c>
    </row>
    <row r="10" spans="1:7" x14ac:dyDescent="0.2">
      <c r="A10" s="14" t="s">
        <v>104</v>
      </c>
      <c r="B10" s="15">
        <v>1</v>
      </c>
      <c r="C10" s="15">
        <v>15</v>
      </c>
      <c r="D10" s="15">
        <v>3</v>
      </c>
      <c r="F10" s="15">
        <v>1</v>
      </c>
      <c r="G10" s="13">
        <v>20</v>
      </c>
    </row>
    <row r="11" spans="1:7" x14ac:dyDescent="0.2">
      <c r="A11" s="14" t="s">
        <v>161</v>
      </c>
      <c r="C11" s="15">
        <v>2</v>
      </c>
      <c r="G11" s="13">
        <v>2</v>
      </c>
    </row>
    <row r="12" spans="1:7" x14ac:dyDescent="0.2">
      <c r="A12" s="14" t="s">
        <v>50</v>
      </c>
      <c r="B12" s="15">
        <v>1</v>
      </c>
      <c r="C12" s="15">
        <v>1</v>
      </c>
      <c r="G12" s="13">
        <v>2</v>
      </c>
    </row>
    <row r="13" spans="1:7" x14ac:dyDescent="0.2">
      <c r="A13" s="14" t="s">
        <v>298</v>
      </c>
      <c r="C13" s="15">
        <v>1</v>
      </c>
      <c r="D13" s="15">
        <v>1</v>
      </c>
      <c r="G13" s="13">
        <v>2</v>
      </c>
    </row>
    <row r="14" spans="1:7" x14ac:dyDescent="0.2">
      <c r="A14" s="14" t="s">
        <v>678</v>
      </c>
      <c r="C14" s="15">
        <v>1</v>
      </c>
      <c r="G14" s="13">
        <v>1</v>
      </c>
    </row>
    <row r="15" spans="1:7" x14ac:dyDescent="0.2">
      <c r="A15" s="14" t="s">
        <v>775</v>
      </c>
      <c r="C15" s="15">
        <v>1</v>
      </c>
      <c r="G15" s="13">
        <v>1</v>
      </c>
    </row>
    <row r="16" spans="1:7" x14ac:dyDescent="0.2">
      <c r="A16" s="14" t="s">
        <v>36</v>
      </c>
      <c r="B16" s="15">
        <v>4</v>
      </c>
      <c r="C16" s="15">
        <v>9</v>
      </c>
      <c r="D16" s="15">
        <v>2</v>
      </c>
      <c r="F16" s="15">
        <v>4</v>
      </c>
      <c r="G16" s="13">
        <v>19</v>
      </c>
    </row>
    <row r="17" spans="1:7" x14ac:dyDescent="0.2">
      <c r="A17" s="14" t="s">
        <v>121</v>
      </c>
      <c r="B17" s="15">
        <v>1</v>
      </c>
      <c r="C17" s="15">
        <v>20</v>
      </c>
      <c r="F17" s="15">
        <v>2</v>
      </c>
      <c r="G17" s="13">
        <v>23</v>
      </c>
    </row>
    <row r="18" spans="1:7" x14ac:dyDescent="0.2">
      <c r="A18" s="14" t="s">
        <v>133</v>
      </c>
      <c r="D18" s="15">
        <v>2</v>
      </c>
      <c r="G18" s="13">
        <v>2</v>
      </c>
    </row>
    <row r="19" spans="1:7" x14ac:dyDescent="0.2">
      <c r="A19" s="14" t="s">
        <v>195</v>
      </c>
      <c r="B19" s="15">
        <v>1</v>
      </c>
      <c r="F19" s="15">
        <v>1</v>
      </c>
      <c r="G19" s="13">
        <v>2</v>
      </c>
    </row>
    <row r="20" spans="1:7" x14ac:dyDescent="0.2">
      <c r="A20" s="14" t="s">
        <v>340</v>
      </c>
      <c r="C20" s="15">
        <v>1</v>
      </c>
      <c r="E20" s="15">
        <v>1</v>
      </c>
      <c r="G20" s="13">
        <v>2</v>
      </c>
    </row>
    <row r="21" spans="1:7" x14ac:dyDescent="0.2">
      <c r="A21" s="14" t="s">
        <v>344</v>
      </c>
      <c r="E21" s="15">
        <v>2</v>
      </c>
      <c r="G21" s="13">
        <v>2</v>
      </c>
    </row>
    <row r="22" spans="1:7" x14ac:dyDescent="0.2">
      <c r="A22" s="14" t="s">
        <v>96</v>
      </c>
      <c r="F22" s="15">
        <v>2</v>
      </c>
      <c r="G22" s="13">
        <v>2</v>
      </c>
    </row>
    <row r="23" spans="1:7" x14ac:dyDescent="0.2">
      <c r="A23" s="14" t="s">
        <v>92</v>
      </c>
      <c r="F23" s="15">
        <v>2</v>
      </c>
      <c r="G23" s="13">
        <v>2</v>
      </c>
    </row>
    <row r="24" spans="1:7" x14ac:dyDescent="0.2">
      <c r="A24" s="14" t="s">
        <v>41</v>
      </c>
      <c r="B24" s="15">
        <v>1</v>
      </c>
      <c r="F24" s="15">
        <v>1</v>
      </c>
      <c r="G24" s="13">
        <v>2</v>
      </c>
    </row>
    <row r="25" spans="1:7" x14ac:dyDescent="0.2">
      <c r="A25" s="14" t="s">
        <v>4</v>
      </c>
      <c r="B25" s="15">
        <v>1</v>
      </c>
      <c r="E25" s="15">
        <v>1</v>
      </c>
      <c r="G25" s="13">
        <v>2</v>
      </c>
    </row>
    <row r="26" spans="1:7" x14ac:dyDescent="0.2">
      <c r="A26" s="14" t="s">
        <v>125</v>
      </c>
      <c r="B26" s="15">
        <v>2</v>
      </c>
      <c r="G26" s="13">
        <v>2</v>
      </c>
    </row>
    <row r="27" spans="1:7" x14ac:dyDescent="0.2">
      <c r="A27" s="14" t="s">
        <v>160</v>
      </c>
      <c r="B27" s="15">
        <v>4</v>
      </c>
      <c r="C27" s="15">
        <v>7</v>
      </c>
      <c r="D27" s="15">
        <v>1</v>
      </c>
      <c r="E27" s="15">
        <v>2</v>
      </c>
      <c r="G27" s="13">
        <v>14</v>
      </c>
    </row>
    <row r="28" spans="1:7" x14ac:dyDescent="0.2">
      <c r="A28" s="14" t="s">
        <v>128</v>
      </c>
      <c r="B28" s="15">
        <v>4</v>
      </c>
      <c r="G28" s="13">
        <v>4</v>
      </c>
    </row>
    <row r="29" spans="1:7" x14ac:dyDescent="0.2">
      <c r="A29" s="14" t="s">
        <v>33</v>
      </c>
      <c r="B29" s="15">
        <v>1</v>
      </c>
      <c r="G29" s="13">
        <v>1</v>
      </c>
    </row>
    <row r="30" spans="1:7" x14ac:dyDescent="0.2">
      <c r="A30" s="14" t="s">
        <v>743</v>
      </c>
      <c r="C30" s="15">
        <v>2</v>
      </c>
      <c r="G30" s="13">
        <v>2</v>
      </c>
    </row>
    <row r="31" spans="1:7" x14ac:dyDescent="0.2">
      <c r="A31" s="14" t="s">
        <v>94</v>
      </c>
      <c r="B31" s="15">
        <v>1</v>
      </c>
      <c r="G31" s="13">
        <v>1</v>
      </c>
    </row>
    <row r="32" spans="1:7" x14ac:dyDescent="0.2">
      <c r="A32" s="14" t="s">
        <v>84</v>
      </c>
      <c r="B32" s="15">
        <v>1</v>
      </c>
      <c r="G32" s="13">
        <v>1</v>
      </c>
    </row>
    <row r="33" spans="1:7" x14ac:dyDescent="0.2">
      <c r="A33" s="14" t="s">
        <v>193</v>
      </c>
      <c r="B33" s="15">
        <v>1</v>
      </c>
      <c r="G33" s="13">
        <v>1</v>
      </c>
    </row>
    <row r="34" spans="1:7" x14ac:dyDescent="0.2">
      <c r="A34" s="14" t="s">
        <v>313</v>
      </c>
      <c r="B34" s="15">
        <v>1</v>
      </c>
      <c r="C34" s="15">
        <v>1</v>
      </c>
      <c r="G34" s="13">
        <v>2</v>
      </c>
    </row>
    <row r="35" spans="1:7" x14ac:dyDescent="0.2">
      <c r="A35" s="14" t="s">
        <v>729</v>
      </c>
      <c r="B35" s="15">
        <v>1</v>
      </c>
      <c r="C35" s="15">
        <v>1</v>
      </c>
      <c r="G35" s="13">
        <v>2</v>
      </c>
    </row>
    <row r="36" spans="1:7" x14ac:dyDescent="0.2">
      <c r="A36" s="14" t="s">
        <v>15</v>
      </c>
      <c r="E36" s="15">
        <v>1</v>
      </c>
      <c r="G36" s="13">
        <v>1</v>
      </c>
    </row>
    <row r="37" spans="1:7" x14ac:dyDescent="0.2">
      <c r="A37" s="14" t="s">
        <v>768</v>
      </c>
      <c r="C37" s="15">
        <v>3</v>
      </c>
      <c r="G37" s="13">
        <v>3</v>
      </c>
    </row>
    <row r="38" spans="1:7" x14ac:dyDescent="0.2">
      <c r="A38" s="14" t="s">
        <v>338</v>
      </c>
      <c r="E38" s="15">
        <v>1</v>
      </c>
      <c r="G38" s="13">
        <v>1</v>
      </c>
    </row>
    <row r="39" spans="1:7" x14ac:dyDescent="0.2">
      <c r="A39" s="14" t="s">
        <v>52</v>
      </c>
      <c r="C39" s="15">
        <v>19</v>
      </c>
      <c r="G39" s="13">
        <v>19</v>
      </c>
    </row>
    <row r="40" spans="1:7" x14ac:dyDescent="0.2">
      <c r="A40" s="14" t="s">
        <v>14</v>
      </c>
      <c r="B40" s="15">
        <v>2</v>
      </c>
      <c r="E40" s="15">
        <v>1</v>
      </c>
      <c r="G40" s="13">
        <v>3</v>
      </c>
    </row>
    <row r="41" spans="1:7" x14ac:dyDescent="0.2">
      <c r="A41" s="14" t="s">
        <v>40</v>
      </c>
      <c r="B41" s="15">
        <v>1</v>
      </c>
      <c r="G41" s="13">
        <v>1</v>
      </c>
    </row>
    <row r="42" spans="1:7" x14ac:dyDescent="0.2">
      <c r="A42" s="14" t="s">
        <v>34</v>
      </c>
      <c r="B42" s="15">
        <v>1</v>
      </c>
      <c r="G42" s="13">
        <v>1</v>
      </c>
    </row>
    <row r="43" spans="1:7" x14ac:dyDescent="0.2">
      <c r="A43" s="14" t="s">
        <v>194</v>
      </c>
      <c r="B43" s="15">
        <v>2</v>
      </c>
      <c r="G43" s="13">
        <v>2</v>
      </c>
    </row>
    <row r="44" spans="1:7" x14ac:dyDescent="0.2">
      <c r="A44" s="14" t="s">
        <v>63</v>
      </c>
      <c r="D44" s="15">
        <v>13</v>
      </c>
      <c r="G44" s="13">
        <v>13</v>
      </c>
    </row>
    <row r="45" spans="1:7" x14ac:dyDescent="0.2">
      <c r="A45" s="14" t="s">
        <v>1268</v>
      </c>
      <c r="B45" s="15">
        <v>1</v>
      </c>
      <c r="C45" s="15">
        <v>1</v>
      </c>
      <c r="G45" s="13">
        <v>2</v>
      </c>
    </row>
    <row r="46" spans="1:7" x14ac:dyDescent="0.2">
      <c r="A46" s="14" t="s">
        <v>1267</v>
      </c>
      <c r="C46" s="15">
        <v>2</v>
      </c>
      <c r="G46" s="13">
        <v>2</v>
      </c>
    </row>
    <row r="47" spans="1:7" x14ac:dyDescent="0.2">
      <c r="A47" s="14" t="s">
        <v>1266</v>
      </c>
      <c r="C47" s="15">
        <v>1</v>
      </c>
      <c r="G47" s="13">
        <v>1</v>
      </c>
    </row>
    <row r="48" spans="1:7" x14ac:dyDescent="0.2">
      <c r="A48" s="14" t="s">
        <v>1269</v>
      </c>
      <c r="B48" s="15">
        <v>1</v>
      </c>
      <c r="G48" s="13">
        <v>1</v>
      </c>
    </row>
    <row r="49" spans="1:7" x14ac:dyDescent="0.2">
      <c r="A49" s="14" t="s">
        <v>341</v>
      </c>
      <c r="E49" s="15">
        <v>1</v>
      </c>
      <c r="G49" s="13">
        <v>1</v>
      </c>
    </row>
    <row r="50" spans="1:7" x14ac:dyDescent="0.2">
      <c r="A50" s="14" t="s">
        <v>35</v>
      </c>
      <c r="B50" s="15">
        <v>1</v>
      </c>
      <c r="G50" s="13">
        <v>1</v>
      </c>
    </row>
    <row r="51" spans="1:7" x14ac:dyDescent="0.2">
      <c r="A51" s="14" t="s">
        <v>118</v>
      </c>
      <c r="E51" s="15">
        <v>1</v>
      </c>
      <c r="G51" s="13">
        <v>1</v>
      </c>
    </row>
    <row r="52" spans="1:7" x14ac:dyDescent="0.2">
      <c r="A52" s="14" t="s">
        <v>166</v>
      </c>
      <c r="B52" s="15">
        <v>1</v>
      </c>
      <c r="G52" s="13">
        <v>1</v>
      </c>
    </row>
    <row r="53" spans="1:7" x14ac:dyDescent="0.2">
      <c r="A53" s="14" t="s">
        <v>310</v>
      </c>
      <c r="C53" s="15">
        <v>2</v>
      </c>
      <c r="G53" s="13">
        <v>2</v>
      </c>
    </row>
    <row r="54" spans="1:7" x14ac:dyDescent="0.2">
      <c r="A54" s="14" t="s">
        <v>32</v>
      </c>
      <c r="B54" s="15">
        <v>1</v>
      </c>
      <c r="G54" s="13">
        <v>1</v>
      </c>
    </row>
    <row r="55" spans="1:7" x14ac:dyDescent="0.2">
      <c r="A55" s="14" t="s">
        <v>130</v>
      </c>
      <c r="D55" s="15">
        <v>1</v>
      </c>
      <c r="G55" s="13">
        <v>1</v>
      </c>
    </row>
    <row r="56" spans="1:7" x14ac:dyDescent="0.2">
      <c r="A56" s="14" t="s">
        <v>622</v>
      </c>
      <c r="B56" s="15">
        <v>1</v>
      </c>
      <c r="G56" s="13">
        <v>1</v>
      </c>
    </row>
    <row r="57" spans="1:7" x14ac:dyDescent="0.2">
      <c r="A57" s="14" t="s">
        <v>197</v>
      </c>
      <c r="B57" s="15">
        <v>1</v>
      </c>
      <c r="G57" s="13">
        <v>1</v>
      </c>
    </row>
    <row r="58" spans="1:7" x14ac:dyDescent="0.2">
      <c r="A58" s="14" t="s">
        <v>196</v>
      </c>
      <c r="D58" s="15">
        <v>1</v>
      </c>
      <c r="G58" s="13">
        <v>1</v>
      </c>
    </row>
    <row r="59" spans="1:7" x14ac:dyDescent="0.2">
      <c r="A59" s="14" t="s">
        <v>168</v>
      </c>
      <c r="B59" s="15">
        <v>1</v>
      </c>
      <c r="C59" s="15">
        <v>1</v>
      </c>
      <c r="G59" s="13">
        <v>2</v>
      </c>
    </row>
    <row r="60" spans="1:7" x14ac:dyDescent="0.2">
      <c r="A60" s="14" t="s">
        <v>159</v>
      </c>
      <c r="C60" s="15">
        <v>1</v>
      </c>
      <c r="G60" s="13">
        <v>1</v>
      </c>
    </row>
    <row r="61" spans="1:7" x14ac:dyDescent="0.2">
      <c r="A61" s="14" t="s">
        <v>213</v>
      </c>
      <c r="E61" s="15">
        <v>1</v>
      </c>
      <c r="G61" s="13">
        <v>1</v>
      </c>
    </row>
    <row r="62" spans="1:7" x14ac:dyDescent="0.2">
      <c r="A62" s="14" t="s">
        <v>29</v>
      </c>
      <c r="B62" s="15">
        <v>4</v>
      </c>
      <c r="C62" s="15">
        <v>2</v>
      </c>
      <c r="E62" s="15">
        <v>1</v>
      </c>
      <c r="F62" s="15">
        <v>7</v>
      </c>
      <c r="G62" s="13">
        <v>14</v>
      </c>
    </row>
    <row r="63" spans="1:7" x14ac:dyDescent="0.2">
      <c r="A63" s="14" t="s">
        <v>110</v>
      </c>
      <c r="F63" s="15">
        <v>1</v>
      </c>
      <c r="G63" s="13">
        <v>1</v>
      </c>
    </row>
    <row r="64" spans="1:7" x14ac:dyDescent="0.2">
      <c r="A64" s="14" t="s">
        <v>77</v>
      </c>
      <c r="B64" s="15">
        <v>4</v>
      </c>
      <c r="C64" s="15">
        <v>15</v>
      </c>
      <c r="E64" s="15">
        <v>1</v>
      </c>
      <c r="F64" s="15">
        <v>8</v>
      </c>
      <c r="G64" s="13">
        <v>28</v>
      </c>
    </row>
    <row r="65" spans="1:7" x14ac:dyDescent="0.2">
      <c r="A65" s="14" t="s">
        <v>39</v>
      </c>
      <c r="B65" s="15">
        <v>1</v>
      </c>
      <c r="G65" s="13">
        <v>1</v>
      </c>
    </row>
    <row r="66" spans="1:7" x14ac:dyDescent="0.2">
      <c r="A66" s="14" t="s">
        <v>206</v>
      </c>
      <c r="C66" s="15">
        <v>1</v>
      </c>
      <c r="G66" s="13">
        <v>1</v>
      </c>
    </row>
    <row r="67" spans="1:7" x14ac:dyDescent="0.2">
      <c r="A67" s="14" t="s">
        <v>158</v>
      </c>
      <c r="C67" s="15">
        <v>1</v>
      </c>
      <c r="G67" s="13">
        <v>1</v>
      </c>
    </row>
    <row r="68" spans="1:7" x14ac:dyDescent="0.2">
      <c r="A68" s="14" t="s">
        <v>67</v>
      </c>
      <c r="C68" s="15">
        <v>2</v>
      </c>
      <c r="E68" s="15">
        <v>2</v>
      </c>
      <c r="G68" s="13">
        <v>4</v>
      </c>
    </row>
    <row r="69" spans="1:7" x14ac:dyDescent="0.2">
      <c r="A69" s="14" t="s">
        <v>134</v>
      </c>
      <c r="C69" s="15">
        <v>1</v>
      </c>
      <c r="G69" s="13">
        <v>1</v>
      </c>
    </row>
    <row r="70" spans="1:7" x14ac:dyDescent="0.2">
      <c r="A70" s="14" t="s">
        <v>108</v>
      </c>
      <c r="F70" s="15">
        <v>1</v>
      </c>
      <c r="G70" s="13">
        <v>1</v>
      </c>
    </row>
    <row r="71" spans="1:7" x14ac:dyDescent="0.2">
      <c r="A71" s="14" t="s">
        <v>28</v>
      </c>
      <c r="B71" s="15">
        <v>1</v>
      </c>
      <c r="G71" s="13">
        <v>1</v>
      </c>
    </row>
    <row r="72" spans="1:7" x14ac:dyDescent="0.2">
      <c r="A72" s="14" t="s">
        <v>57</v>
      </c>
      <c r="C72" s="15">
        <v>1</v>
      </c>
      <c r="G72" s="13">
        <v>1</v>
      </c>
    </row>
    <row r="73" spans="1:7" x14ac:dyDescent="0.2">
      <c r="A73" s="14" t="s">
        <v>339</v>
      </c>
      <c r="E73" s="15">
        <v>1</v>
      </c>
      <c r="G73" s="13">
        <v>1</v>
      </c>
    </row>
    <row r="74" spans="1:7" x14ac:dyDescent="0.2">
      <c r="A74" s="14" t="s">
        <v>343</v>
      </c>
      <c r="E74" s="15">
        <v>1</v>
      </c>
      <c r="G74" s="13">
        <v>1</v>
      </c>
    </row>
    <row r="75" spans="1:7" x14ac:dyDescent="0.2">
      <c r="A75" s="14" t="s">
        <v>1270</v>
      </c>
      <c r="B75" s="15">
        <v>1</v>
      </c>
      <c r="C75" s="15">
        <v>3</v>
      </c>
      <c r="G75" s="13">
        <v>4</v>
      </c>
    </row>
    <row r="76" spans="1:7" x14ac:dyDescent="0.2">
      <c r="A76" s="14" t="s">
        <v>148</v>
      </c>
      <c r="D76" s="15">
        <v>1</v>
      </c>
      <c r="G76" s="13">
        <v>1</v>
      </c>
    </row>
    <row r="77" spans="1:7" x14ac:dyDescent="0.2">
      <c r="A77" s="14" t="s">
        <v>374</v>
      </c>
      <c r="D77" s="15">
        <v>1</v>
      </c>
      <c r="G77" s="13">
        <v>1</v>
      </c>
    </row>
    <row r="78" spans="1:7" x14ac:dyDescent="0.2">
      <c r="A78" s="14" t="s">
        <v>165</v>
      </c>
      <c r="B78" s="15">
        <v>1</v>
      </c>
      <c r="C78" s="15">
        <v>3</v>
      </c>
      <c r="E78" s="15">
        <v>3</v>
      </c>
      <c r="G78" s="13">
        <v>7</v>
      </c>
    </row>
    <row r="79" spans="1:7" x14ac:dyDescent="0.2">
      <c r="A79" s="14" t="s">
        <v>150</v>
      </c>
      <c r="E79" s="15">
        <v>1</v>
      </c>
      <c r="G79" s="13">
        <v>1</v>
      </c>
    </row>
    <row r="80" spans="1:7" x14ac:dyDescent="0.2">
      <c r="A80" s="14" t="s">
        <v>124</v>
      </c>
      <c r="C80" s="15">
        <v>3</v>
      </c>
      <c r="G80" s="13">
        <v>3</v>
      </c>
    </row>
    <row r="81" spans="1:7" x14ac:dyDescent="0.2">
      <c r="A81" s="14" t="s">
        <v>575</v>
      </c>
      <c r="B81" s="15">
        <v>1</v>
      </c>
      <c r="G81" s="13">
        <v>1</v>
      </c>
    </row>
    <row r="82" spans="1:7" x14ac:dyDescent="0.2">
      <c r="A82" s="14" t="s">
        <v>13</v>
      </c>
      <c r="B82" s="15">
        <v>1</v>
      </c>
      <c r="G82" s="13">
        <v>1</v>
      </c>
    </row>
    <row r="83" spans="1:7" x14ac:dyDescent="0.2">
      <c r="A83" s="14" t="s">
        <v>839</v>
      </c>
      <c r="E83" s="15">
        <v>1</v>
      </c>
      <c r="G83" s="13">
        <v>1</v>
      </c>
    </row>
    <row r="84" spans="1:7" x14ac:dyDescent="0.2">
      <c r="A84" s="14" t="s">
        <v>163</v>
      </c>
      <c r="E84" s="15">
        <v>1</v>
      </c>
      <c r="G84" s="13">
        <v>1</v>
      </c>
    </row>
    <row r="85" spans="1:7" x14ac:dyDescent="0.2">
      <c r="A85" s="14" t="s">
        <v>265</v>
      </c>
      <c r="F85" s="15">
        <v>1</v>
      </c>
      <c r="G85" s="13">
        <v>1</v>
      </c>
    </row>
    <row r="86" spans="1:7" x14ac:dyDescent="0.2">
      <c r="A86" s="14" t="s">
        <v>105</v>
      </c>
      <c r="F86" s="15">
        <v>1</v>
      </c>
      <c r="G86" s="13">
        <v>1</v>
      </c>
    </row>
    <row r="87" spans="1:7" x14ac:dyDescent="0.2">
      <c r="A87" s="14" t="s">
        <v>843</v>
      </c>
      <c r="E87" s="15">
        <v>1</v>
      </c>
      <c r="G87" s="13">
        <v>1</v>
      </c>
    </row>
    <row r="88" spans="1:7" x14ac:dyDescent="0.2">
      <c r="A88" s="14" t="s">
        <v>257</v>
      </c>
      <c r="B88" s="15">
        <v>56</v>
      </c>
      <c r="C88" s="15">
        <v>155</v>
      </c>
      <c r="D88" s="15">
        <v>27</v>
      </c>
      <c r="E88" s="15">
        <v>27</v>
      </c>
      <c r="F88" s="15">
        <v>41</v>
      </c>
      <c r="G88" s="13">
        <v>306</v>
      </c>
    </row>
    <row r="89" spans="1:7" x14ac:dyDescent="0.2">
      <c r="B89"/>
      <c r="C89"/>
      <c r="D89"/>
      <c r="E89"/>
      <c r="F89"/>
      <c r="G89"/>
    </row>
    <row r="90" spans="1:7" x14ac:dyDescent="0.2">
      <c r="B90"/>
      <c r="C90"/>
      <c r="D90"/>
      <c r="E90"/>
      <c r="F90"/>
      <c r="G90"/>
    </row>
    <row r="91" spans="1:7" x14ac:dyDescent="0.2">
      <c r="G91"/>
    </row>
    <row r="92" spans="1:7" x14ac:dyDescent="0.2">
      <c r="G92"/>
    </row>
    <row r="93" spans="1:7" x14ac:dyDescent="0.2">
      <c r="G93"/>
    </row>
    <row r="94" spans="1:7" x14ac:dyDescent="0.2">
      <c r="G94"/>
    </row>
    <row r="95" spans="1:7" x14ac:dyDescent="0.2">
      <c r="G95"/>
    </row>
    <row r="96" spans="1:7" x14ac:dyDescent="0.2">
      <c r="G96"/>
    </row>
    <row r="97" spans="2:6" customFormat="1" x14ac:dyDescent="0.2">
      <c r="B97" s="15"/>
      <c r="C97" s="15"/>
      <c r="D97" s="15"/>
      <c r="E97" s="15"/>
      <c r="F97" s="15"/>
    </row>
    <row r="98" spans="2:6" customFormat="1" x14ac:dyDescent="0.2">
      <c r="B98" s="15"/>
      <c r="C98" s="15"/>
      <c r="D98" s="15"/>
      <c r="E98" s="15"/>
      <c r="F98" s="15"/>
    </row>
    <row r="99" spans="2:6" customFormat="1" x14ac:dyDescent="0.2">
      <c r="B99" s="15"/>
      <c r="C99" s="15"/>
      <c r="D99" s="15"/>
      <c r="E99" s="15"/>
      <c r="F99" s="15"/>
    </row>
    <row r="100" spans="2:6" customFormat="1" x14ac:dyDescent="0.2">
      <c r="B100" s="15"/>
      <c r="C100" s="15"/>
      <c r="D100" s="15"/>
      <c r="E100" s="15"/>
      <c r="F100" s="15"/>
    </row>
    <row r="101" spans="2:6" customFormat="1" x14ac:dyDescent="0.2">
      <c r="B101" s="15"/>
      <c r="C101" s="15"/>
      <c r="D101" s="15"/>
      <c r="E101" s="15"/>
      <c r="F101" s="15"/>
    </row>
    <row r="102" spans="2:6" customFormat="1" x14ac:dyDescent="0.2">
      <c r="B102" s="15"/>
      <c r="C102" s="15"/>
      <c r="D102" s="15"/>
      <c r="E102" s="15"/>
      <c r="F102" s="15"/>
    </row>
    <row r="103" spans="2:6" customFormat="1" x14ac:dyDescent="0.2">
      <c r="B103" s="15"/>
      <c r="C103" s="15"/>
      <c r="D103" s="15"/>
      <c r="E103" s="15"/>
      <c r="F103" s="15"/>
    </row>
    <row r="104" spans="2:6" customFormat="1" x14ac:dyDescent="0.2">
      <c r="B104" s="15"/>
      <c r="C104" s="15"/>
      <c r="D104" s="15"/>
      <c r="E104" s="15"/>
      <c r="F104" s="15"/>
    </row>
    <row r="105" spans="2:6" customFormat="1" x14ac:dyDescent="0.2">
      <c r="B105" s="15"/>
      <c r="C105" s="15"/>
      <c r="D105" s="15"/>
      <c r="E105" s="15"/>
      <c r="F105" s="15"/>
    </row>
    <row r="106" spans="2:6" customFormat="1" x14ac:dyDescent="0.2">
      <c r="B106" s="15"/>
      <c r="C106" s="15"/>
      <c r="D106" s="15"/>
      <c r="E106" s="15"/>
      <c r="F106" s="15"/>
    </row>
    <row r="107" spans="2:6" customFormat="1" x14ac:dyDescent="0.2">
      <c r="B107" s="15"/>
      <c r="C107" s="15"/>
      <c r="D107" s="15"/>
      <c r="E107" s="15"/>
      <c r="F107" s="15"/>
    </row>
    <row r="108" spans="2:6" customFormat="1" x14ac:dyDescent="0.2">
      <c r="B108" s="15"/>
      <c r="C108" s="15"/>
      <c r="D108" s="15"/>
      <c r="E108" s="15"/>
      <c r="F108" s="15"/>
    </row>
    <row r="109" spans="2:6" customFormat="1" x14ac:dyDescent="0.2">
      <c r="B109" s="15"/>
      <c r="C109" s="15"/>
      <c r="D109" s="15"/>
      <c r="E109" s="15"/>
      <c r="F109" s="15"/>
    </row>
    <row r="110" spans="2:6" customFormat="1" x14ac:dyDescent="0.2">
      <c r="B110" s="15"/>
      <c r="C110" s="15"/>
      <c r="D110" s="15"/>
      <c r="E110" s="15"/>
      <c r="F110" s="15"/>
    </row>
    <row r="111" spans="2:6" customFormat="1" x14ac:dyDescent="0.2">
      <c r="B111" s="15"/>
      <c r="C111" s="15"/>
      <c r="D111" s="15"/>
      <c r="E111" s="15"/>
      <c r="F111" s="15"/>
    </row>
    <row r="112" spans="2:6" customFormat="1" x14ac:dyDescent="0.2">
      <c r="B112" s="15"/>
      <c r="C112" s="15"/>
      <c r="D112" s="15"/>
      <c r="E112" s="15"/>
      <c r="F112" s="15"/>
    </row>
    <row r="113" spans="2:6" customFormat="1" x14ac:dyDescent="0.2">
      <c r="B113" s="15"/>
      <c r="C113" s="15"/>
      <c r="D113" s="15"/>
      <c r="E113" s="15"/>
      <c r="F113" s="15"/>
    </row>
    <row r="114" spans="2:6" customFormat="1" x14ac:dyDescent="0.2">
      <c r="B114" s="15"/>
      <c r="C114" s="15"/>
      <c r="D114" s="15"/>
      <c r="E114" s="15"/>
      <c r="F114" s="15"/>
    </row>
    <row r="115" spans="2:6" customFormat="1" x14ac:dyDescent="0.2">
      <c r="B115" s="15"/>
      <c r="C115" s="15"/>
      <c r="D115" s="15"/>
      <c r="E115" s="15"/>
      <c r="F115" s="15"/>
    </row>
    <row r="116" spans="2:6" customFormat="1" x14ac:dyDescent="0.2">
      <c r="B116" s="15"/>
      <c r="C116" s="15"/>
      <c r="D116" s="15"/>
      <c r="E116" s="15"/>
      <c r="F116" s="15"/>
    </row>
    <row r="117" spans="2:6" customFormat="1" x14ac:dyDescent="0.2">
      <c r="B117" s="15"/>
      <c r="C117" s="15"/>
      <c r="D117" s="15"/>
      <c r="E117" s="15"/>
      <c r="F117" s="15"/>
    </row>
    <row r="118" spans="2:6" customFormat="1" x14ac:dyDescent="0.2">
      <c r="B118" s="15"/>
      <c r="C118" s="15"/>
      <c r="D118" s="15"/>
      <c r="E118" s="15"/>
      <c r="F118" s="15"/>
    </row>
    <row r="119" spans="2:6" customFormat="1" x14ac:dyDescent="0.2">
      <c r="B119" s="15"/>
      <c r="C119" s="15"/>
      <c r="D119" s="15"/>
      <c r="E119" s="15"/>
      <c r="F119" s="15"/>
    </row>
    <row r="120" spans="2:6" customFormat="1" x14ac:dyDescent="0.2">
      <c r="B120" s="15"/>
      <c r="C120" s="15"/>
      <c r="D120" s="15"/>
      <c r="E120" s="15"/>
      <c r="F120" s="15"/>
    </row>
    <row r="121" spans="2:6" customFormat="1" x14ac:dyDescent="0.2">
      <c r="B121" s="15"/>
      <c r="C121" s="15"/>
      <c r="D121" s="15"/>
      <c r="E121" s="15"/>
      <c r="F121" s="15"/>
    </row>
    <row r="122" spans="2:6" customFormat="1" x14ac:dyDescent="0.2">
      <c r="B122" s="15"/>
      <c r="C122" s="15"/>
      <c r="D122" s="15"/>
      <c r="E122" s="15"/>
      <c r="F122" s="15"/>
    </row>
    <row r="123" spans="2:6" customFormat="1" x14ac:dyDescent="0.2">
      <c r="B123" s="15"/>
      <c r="C123" s="15"/>
      <c r="D123" s="15"/>
      <c r="E123" s="15"/>
      <c r="F123" s="15"/>
    </row>
    <row r="124" spans="2:6" customFormat="1" x14ac:dyDescent="0.2">
      <c r="B124" s="15"/>
      <c r="C124" s="15"/>
      <c r="D124" s="15"/>
      <c r="E124" s="15"/>
      <c r="F124" s="15"/>
    </row>
    <row r="125" spans="2:6" customFormat="1" x14ac:dyDescent="0.2">
      <c r="B125" s="15"/>
      <c r="C125" s="15"/>
      <c r="D125" s="15"/>
      <c r="E125" s="15"/>
      <c r="F125" s="15"/>
    </row>
    <row r="126" spans="2:6" customFormat="1" x14ac:dyDescent="0.2">
      <c r="B126" s="15"/>
      <c r="C126" s="15"/>
      <c r="D126" s="15"/>
      <c r="E126" s="15"/>
      <c r="F126" s="15"/>
    </row>
    <row r="127" spans="2:6" customFormat="1" x14ac:dyDescent="0.2">
      <c r="B127" s="15"/>
      <c r="C127" s="15"/>
      <c r="D127" s="15"/>
      <c r="E127" s="15"/>
      <c r="F127" s="15"/>
    </row>
    <row r="128" spans="2:6" customFormat="1" x14ac:dyDescent="0.2">
      <c r="B128" s="15"/>
      <c r="C128" s="15"/>
      <c r="D128" s="15"/>
      <c r="E128" s="15"/>
      <c r="F128" s="15"/>
    </row>
    <row r="129" spans="2:6" customFormat="1" x14ac:dyDescent="0.2">
      <c r="B129" s="15"/>
      <c r="C129" s="15"/>
      <c r="D129" s="15"/>
      <c r="E129" s="15"/>
      <c r="F129" s="15"/>
    </row>
    <row r="130" spans="2:6" customFormat="1" x14ac:dyDescent="0.2">
      <c r="B130" s="15"/>
      <c r="C130" s="15"/>
      <c r="D130" s="15"/>
      <c r="E130" s="15"/>
      <c r="F130" s="15"/>
    </row>
    <row r="131" spans="2:6" customFormat="1" x14ac:dyDescent="0.2">
      <c r="B131" s="15"/>
      <c r="C131" s="15"/>
      <c r="D131" s="15"/>
      <c r="E131" s="15"/>
      <c r="F131" s="15"/>
    </row>
    <row r="132" spans="2:6" customFormat="1" x14ac:dyDescent="0.2">
      <c r="B132" s="15"/>
      <c r="C132" s="15"/>
      <c r="D132" s="15"/>
      <c r="E132" s="15"/>
      <c r="F132" s="15"/>
    </row>
    <row r="133" spans="2:6" customFormat="1" x14ac:dyDescent="0.2">
      <c r="B133" s="15"/>
      <c r="C133" s="15"/>
      <c r="D133" s="15"/>
      <c r="E133" s="15"/>
      <c r="F133" s="15"/>
    </row>
    <row r="134" spans="2:6" customFormat="1" x14ac:dyDescent="0.2">
      <c r="B134" s="15"/>
      <c r="C134" s="15"/>
      <c r="D134" s="15"/>
      <c r="E134" s="15"/>
      <c r="F134" s="15"/>
    </row>
    <row r="135" spans="2:6" customFormat="1" x14ac:dyDescent="0.2">
      <c r="B135" s="15"/>
      <c r="C135" s="15"/>
      <c r="D135" s="15"/>
      <c r="E135" s="15"/>
      <c r="F135" s="15"/>
    </row>
    <row r="136" spans="2:6" customFormat="1" x14ac:dyDescent="0.2">
      <c r="B136" s="15"/>
      <c r="C136" s="15"/>
      <c r="D136" s="15"/>
      <c r="E136" s="15"/>
      <c r="F136" s="15"/>
    </row>
    <row r="137" spans="2:6" customFormat="1" x14ac:dyDescent="0.2">
      <c r="B137" s="15"/>
      <c r="C137" s="15"/>
      <c r="D137" s="15"/>
      <c r="E137" s="15"/>
      <c r="F137" s="15"/>
    </row>
    <row r="138" spans="2:6" customFormat="1" x14ac:dyDescent="0.2">
      <c r="B138" s="15"/>
      <c r="C138" s="15"/>
      <c r="D138" s="15"/>
      <c r="E138" s="15"/>
      <c r="F138" s="15"/>
    </row>
    <row r="139" spans="2:6" customFormat="1" x14ac:dyDescent="0.2">
      <c r="B139" s="15"/>
      <c r="C139" s="15"/>
      <c r="D139" s="15"/>
      <c r="E139" s="15"/>
      <c r="F139" s="15"/>
    </row>
    <row r="140" spans="2:6" customFormat="1" x14ac:dyDescent="0.2">
      <c r="B140" s="15"/>
      <c r="C140" s="15"/>
      <c r="D140" s="15"/>
      <c r="E140" s="15"/>
      <c r="F140" s="15"/>
    </row>
    <row r="141" spans="2:6" customFormat="1" x14ac:dyDescent="0.2">
      <c r="B141" s="15"/>
      <c r="C141" s="15"/>
      <c r="D141" s="15"/>
      <c r="E141" s="15"/>
      <c r="F141" s="15"/>
    </row>
    <row r="142" spans="2:6" customFormat="1" x14ac:dyDescent="0.2">
      <c r="B142" s="15"/>
      <c r="C142" s="15"/>
      <c r="D142" s="15"/>
      <c r="E142" s="15"/>
      <c r="F142" s="15"/>
    </row>
    <row r="143" spans="2:6" customFormat="1" x14ac:dyDescent="0.2">
      <c r="B143" s="15"/>
      <c r="C143" s="15"/>
      <c r="D143" s="15"/>
      <c r="E143" s="15"/>
      <c r="F143" s="15"/>
    </row>
    <row r="144" spans="2:6" customFormat="1" x14ac:dyDescent="0.2">
      <c r="B144" s="15"/>
      <c r="C144" s="15"/>
      <c r="D144" s="15"/>
      <c r="E144" s="15"/>
      <c r="F144" s="15"/>
    </row>
    <row r="145" spans="2:6" customFormat="1" x14ac:dyDescent="0.2">
      <c r="B145" s="15"/>
      <c r="C145" s="15"/>
      <c r="D145" s="15"/>
      <c r="E145" s="15"/>
      <c r="F145" s="15"/>
    </row>
    <row r="146" spans="2:6" customFormat="1" x14ac:dyDescent="0.2">
      <c r="B146" s="15"/>
      <c r="C146" s="15"/>
      <c r="D146" s="15"/>
      <c r="E146" s="15"/>
      <c r="F146" s="15"/>
    </row>
    <row r="147" spans="2:6" customFormat="1" x14ac:dyDescent="0.2">
      <c r="B147" s="15"/>
      <c r="C147" s="15"/>
      <c r="D147" s="15"/>
      <c r="E147" s="15"/>
      <c r="F147" s="15"/>
    </row>
    <row r="148" spans="2:6" customFormat="1" x14ac:dyDescent="0.2">
      <c r="B148" s="15"/>
      <c r="C148" s="15"/>
      <c r="D148" s="15"/>
      <c r="E148" s="15"/>
      <c r="F148" s="15"/>
    </row>
    <row r="149" spans="2:6" customFormat="1" x14ac:dyDescent="0.2">
      <c r="B149" s="15"/>
      <c r="C149" s="15"/>
      <c r="D149" s="15"/>
      <c r="E149" s="15"/>
      <c r="F149" s="15"/>
    </row>
    <row r="150" spans="2:6" customFormat="1" x14ac:dyDescent="0.2">
      <c r="B150" s="15"/>
      <c r="C150" s="15"/>
      <c r="D150" s="15"/>
      <c r="E150" s="15"/>
      <c r="F150" s="15"/>
    </row>
    <row r="151" spans="2:6" customFormat="1" x14ac:dyDescent="0.2">
      <c r="B151" s="15"/>
      <c r="C151" s="15"/>
      <c r="D151" s="15"/>
      <c r="E151" s="15"/>
      <c r="F151" s="15"/>
    </row>
    <row r="152" spans="2:6" customFormat="1" x14ac:dyDescent="0.2">
      <c r="B152" s="15"/>
      <c r="C152" s="15"/>
      <c r="D152" s="15"/>
      <c r="E152" s="15"/>
      <c r="F152" s="15"/>
    </row>
    <row r="153" spans="2:6" customFormat="1" x14ac:dyDescent="0.2">
      <c r="B153" s="15"/>
      <c r="C153" s="15"/>
      <c r="D153" s="15"/>
      <c r="E153" s="15"/>
      <c r="F153" s="15"/>
    </row>
    <row r="154" spans="2:6" customFormat="1" x14ac:dyDescent="0.2">
      <c r="B154" s="15"/>
      <c r="C154" s="15"/>
      <c r="D154" s="15"/>
      <c r="E154" s="15"/>
      <c r="F154" s="15"/>
    </row>
    <row r="155" spans="2:6" customFormat="1" x14ac:dyDescent="0.2">
      <c r="B155" s="15"/>
      <c r="C155" s="15"/>
      <c r="D155" s="15"/>
      <c r="E155" s="15"/>
      <c r="F155" s="15"/>
    </row>
    <row r="156" spans="2:6" customFormat="1" x14ac:dyDescent="0.2">
      <c r="B156" s="15"/>
      <c r="C156" s="15"/>
      <c r="D156" s="15"/>
      <c r="E156" s="15"/>
      <c r="F156" s="15"/>
    </row>
    <row r="157" spans="2:6" customFormat="1" x14ac:dyDescent="0.2">
      <c r="B157" s="15"/>
      <c r="C157" s="15"/>
      <c r="D157" s="15"/>
      <c r="E157" s="15"/>
      <c r="F157" s="15"/>
    </row>
    <row r="158" spans="2:6" customFormat="1" x14ac:dyDescent="0.2">
      <c r="B158" s="15"/>
      <c r="C158" s="15"/>
      <c r="D158" s="15"/>
      <c r="E158" s="15"/>
      <c r="F158" s="15"/>
    </row>
    <row r="159" spans="2:6" customFormat="1" x14ac:dyDescent="0.2">
      <c r="B159" s="15"/>
      <c r="C159" s="15"/>
      <c r="D159" s="15"/>
      <c r="E159" s="15"/>
      <c r="F159" s="15"/>
    </row>
    <row r="160" spans="2:6" customFormat="1" x14ac:dyDescent="0.2">
      <c r="B160" s="15"/>
      <c r="C160" s="15"/>
      <c r="D160" s="15"/>
      <c r="E160" s="15"/>
      <c r="F160" s="15"/>
    </row>
    <row r="161" spans="2:6" customFormat="1" x14ac:dyDescent="0.2">
      <c r="B161" s="15"/>
      <c r="C161" s="15"/>
      <c r="D161" s="15"/>
      <c r="E161" s="15"/>
      <c r="F161" s="15"/>
    </row>
    <row r="162" spans="2:6" customFormat="1" x14ac:dyDescent="0.2">
      <c r="B162" s="15"/>
      <c r="C162" s="15"/>
      <c r="D162" s="15"/>
      <c r="E162" s="15"/>
      <c r="F162" s="15"/>
    </row>
    <row r="163" spans="2:6" customFormat="1" x14ac:dyDescent="0.2">
      <c r="B163" s="15"/>
      <c r="C163" s="15"/>
      <c r="D163" s="15"/>
      <c r="E163" s="15"/>
      <c r="F163" s="15"/>
    </row>
    <row r="164" spans="2:6" customFormat="1" x14ac:dyDescent="0.2">
      <c r="B164" s="15"/>
      <c r="C164" s="15"/>
      <c r="D164" s="15"/>
      <c r="E164" s="15"/>
      <c r="F164" s="15"/>
    </row>
    <row r="165" spans="2:6" customFormat="1" x14ac:dyDescent="0.2">
      <c r="B165" s="15"/>
      <c r="C165" s="15"/>
      <c r="D165" s="15"/>
      <c r="E165" s="15"/>
      <c r="F165" s="15"/>
    </row>
    <row r="166" spans="2:6" customFormat="1" x14ac:dyDescent="0.2">
      <c r="B166" s="15"/>
      <c r="C166" s="15"/>
      <c r="D166" s="15"/>
      <c r="E166" s="15"/>
      <c r="F166" s="15"/>
    </row>
    <row r="167" spans="2:6" customFormat="1" x14ac:dyDescent="0.2">
      <c r="B167" s="15"/>
      <c r="C167" s="15"/>
      <c r="D167" s="15"/>
      <c r="E167" s="15"/>
      <c r="F167" s="15"/>
    </row>
    <row r="168" spans="2:6" customFormat="1" x14ac:dyDescent="0.2">
      <c r="B168" s="15"/>
      <c r="C168" s="15"/>
      <c r="D168" s="15"/>
      <c r="E168" s="15"/>
      <c r="F168" s="15"/>
    </row>
    <row r="169" spans="2:6" customFormat="1" x14ac:dyDescent="0.2">
      <c r="B169" s="15"/>
      <c r="C169" s="15"/>
      <c r="D169" s="15"/>
      <c r="E169" s="15"/>
      <c r="F169" s="15"/>
    </row>
    <row r="170" spans="2:6" customFormat="1" x14ac:dyDescent="0.2">
      <c r="B170" s="15"/>
      <c r="C170" s="15"/>
      <c r="D170" s="15"/>
      <c r="E170" s="15"/>
      <c r="F170" s="15"/>
    </row>
    <row r="171" spans="2:6" customFormat="1" x14ac:dyDescent="0.2">
      <c r="B171" s="15"/>
      <c r="C171" s="15"/>
      <c r="D171" s="15"/>
      <c r="E171" s="15"/>
      <c r="F171" s="15"/>
    </row>
    <row r="172" spans="2:6" customFormat="1" x14ac:dyDescent="0.2">
      <c r="B172" s="15"/>
      <c r="C172" s="15"/>
      <c r="D172" s="15"/>
      <c r="E172" s="15"/>
      <c r="F172" s="15"/>
    </row>
    <row r="173" spans="2:6" customFormat="1" x14ac:dyDescent="0.2">
      <c r="B173" s="15"/>
      <c r="C173" s="15"/>
      <c r="D173" s="15"/>
      <c r="E173" s="15"/>
      <c r="F173" s="15"/>
    </row>
    <row r="174" spans="2:6" customFormat="1" x14ac:dyDescent="0.2">
      <c r="B174" s="15"/>
      <c r="C174" s="15"/>
      <c r="D174" s="15"/>
      <c r="E174" s="15"/>
      <c r="F174" s="15"/>
    </row>
    <row r="175" spans="2:6" customFormat="1" x14ac:dyDescent="0.2">
      <c r="B175" s="15"/>
      <c r="C175" s="15"/>
      <c r="D175" s="15"/>
      <c r="E175" s="15"/>
      <c r="F175" s="15"/>
    </row>
    <row r="176" spans="2:6" customFormat="1" x14ac:dyDescent="0.2">
      <c r="B176" s="15"/>
      <c r="C176" s="15"/>
      <c r="D176" s="15"/>
      <c r="E176" s="15"/>
      <c r="F176" s="15"/>
    </row>
    <row r="177" spans="2:6" customFormat="1" x14ac:dyDescent="0.2">
      <c r="B177" s="15"/>
      <c r="C177" s="15"/>
      <c r="D177" s="15"/>
      <c r="E177" s="15"/>
      <c r="F177" s="15"/>
    </row>
    <row r="178" spans="2:6" customFormat="1" x14ac:dyDescent="0.2">
      <c r="B178" s="15"/>
      <c r="C178" s="15"/>
      <c r="D178" s="15"/>
      <c r="E178" s="15"/>
      <c r="F178" s="15"/>
    </row>
    <row r="179" spans="2:6" customFormat="1" x14ac:dyDescent="0.2">
      <c r="B179" s="15"/>
      <c r="C179" s="15"/>
      <c r="D179" s="15"/>
      <c r="E179" s="15"/>
      <c r="F179" s="15"/>
    </row>
    <row r="180" spans="2:6" customFormat="1" x14ac:dyDescent="0.2">
      <c r="B180" s="15"/>
      <c r="C180" s="15"/>
      <c r="D180" s="15"/>
      <c r="E180" s="15"/>
      <c r="F180" s="15"/>
    </row>
    <row r="181" spans="2:6" customFormat="1" x14ac:dyDescent="0.2">
      <c r="B181" s="15"/>
      <c r="C181" s="15"/>
      <c r="D181" s="15"/>
      <c r="E181" s="15"/>
      <c r="F181" s="15"/>
    </row>
    <row r="182" spans="2:6" customFormat="1" x14ac:dyDescent="0.2">
      <c r="B182" s="15"/>
      <c r="C182" s="15"/>
      <c r="D182" s="15"/>
      <c r="E182" s="15"/>
      <c r="F182" s="15"/>
    </row>
    <row r="183" spans="2:6" customFormat="1" x14ac:dyDescent="0.2">
      <c r="B183" s="15"/>
      <c r="C183" s="15"/>
      <c r="D183" s="15"/>
      <c r="E183" s="15"/>
      <c r="F183" s="15"/>
    </row>
    <row r="184" spans="2:6" customFormat="1" x14ac:dyDescent="0.2">
      <c r="B184" s="15"/>
      <c r="C184" s="15"/>
      <c r="D184" s="15"/>
      <c r="E184" s="15"/>
      <c r="F184" s="15"/>
    </row>
    <row r="185" spans="2:6" customFormat="1" x14ac:dyDescent="0.2">
      <c r="B185" s="15"/>
      <c r="C185" s="15"/>
      <c r="D185" s="15"/>
      <c r="E185" s="15"/>
      <c r="F185" s="15"/>
    </row>
    <row r="186" spans="2:6" customFormat="1" x14ac:dyDescent="0.2">
      <c r="B186" s="15"/>
      <c r="C186" s="15"/>
      <c r="D186" s="15"/>
      <c r="E186" s="15"/>
      <c r="F186" s="15"/>
    </row>
    <row r="187" spans="2:6" customFormat="1" x14ac:dyDescent="0.2">
      <c r="B187" s="15"/>
      <c r="C187" s="15"/>
      <c r="D187" s="15"/>
      <c r="E187" s="15"/>
      <c r="F187" s="15"/>
    </row>
    <row r="188" spans="2:6" customFormat="1" x14ac:dyDescent="0.2">
      <c r="B188" s="15"/>
      <c r="C188" s="15"/>
      <c r="D188" s="15"/>
      <c r="E188" s="15"/>
      <c r="F188" s="15"/>
    </row>
  </sheetData>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4DFA8-C85F-5A47-AF35-557566C2D361}">
  <dimension ref="A2:M87"/>
  <sheetViews>
    <sheetView workbookViewId="0">
      <selection activeCell="A63" sqref="A63:XFD63"/>
    </sheetView>
  </sheetViews>
  <sheetFormatPr baseColWidth="10" defaultRowHeight="16" x14ac:dyDescent="0.2"/>
  <cols>
    <col min="1" max="1" width="30.83203125" bestFit="1" customWidth="1"/>
    <col min="2" max="12" width="12.83203125" style="15" customWidth="1"/>
    <col min="13" max="13" width="12.83203125" customWidth="1"/>
  </cols>
  <sheetData>
    <row r="2" spans="1:13" x14ac:dyDescent="0.2">
      <c r="A2" s="11" t="s">
        <v>1200</v>
      </c>
      <c r="B2" s="95" t="s">
        <v>596</v>
      </c>
    </row>
    <row r="3" spans="1:13" x14ac:dyDescent="0.2">
      <c r="A3" s="11" t="s">
        <v>250</v>
      </c>
      <c r="B3" s="15" t="s">
        <v>1140</v>
      </c>
      <c r="C3" s="15" t="s">
        <v>1138</v>
      </c>
      <c r="D3" s="15" t="s">
        <v>1146</v>
      </c>
      <c r="E3" s="15" t="s">
        <v>1132</v>
      </c>
      <c r="F3" s="15" t="s">
        <v>1135</v>
      </c>
      <c r="G3" s="15" t="s">
        <v>1150</v>
      </c>
      <c r="H3" s="15" t="s">
        <v>1142</v>
      </c>
      <c r="I3" s="15" t="s">
        <v>1151</v>
      </c>
      <c r="J3" s="15" t="s">
        <v>1139</v>
      </c>
      <c r="K3" s="15" t="s">
        <v>1134</v>
      </c>
      <c r="L3" s="15" t="s">
        <v>1131</v>
      </c>
      <c r="M3" t="s">
        <v>224</v>
      </c>
    </row>
    <row r="4" spans="1:13" x14ac:dyDescent="0.2">
      <c r="A4" s="14" t="s">
        <v>54</v>
      </c>
      <c r="D4" s="15">
        <v>10</v>
      </c>
      <c r="F4" s="15">
        <v>1</v>
      </c>
      <c r="I4" s="15">
        <v>3</v>
      </c>
      <c r="K4" s="15">
        <v>2</v>
      </c>
      <c r="L4" s="15">
        <v>2</v>
      </c>
      <c r="M4">
        <v>18</v>
      </c>
    </row>
    <row r="5" spans="1:13" x14ac:dyDescent="0.2">
      <c r="A5" s="14" t="s">
        <v>59</v>
      </c>
      <c r="C5" s="15">
        <v>1</v>
      </c>
      <c r="M5">
        <v>1</v>
      </c>
    </row>
    <row r="6" spans="1:13" x14ac:dyDescent="0.2">
      <c r="A6" s="14" t="s">
        <v>70</v>
      </c>
      <c r="K6" s="15">
        <v>5</v>
      </c>
      <c r="M6">
        <v>5</v>
      </c>
    </row>
    <row r="7" spans="1:13" x14ac:dyDescent="0.2">
      <c r="A7" s="14" t="s">
        <v>1271</v>
      </c>
      <c r="E7" s="15">
        <v>2</v>
      </c>
      <c r="I7" s="15">
        <v>4</v>
      </c>
      <c r="J7" s="15">
        <v>5</v>
      </c>
      <c r="M7">
        <v>11</v>
      </c>
    </row>
    <row r="8" spans="1:13" x14ac:dyDescent="0.2">
      <c r="A8" s="14" t="s">
        <v>46</v>
      </c>
      <c r="D8" s="15">
        <v>1</v>
      </c>
      <c r="F8" s="15">
        <v>2</v>
      </c>
      <c r="I8" s="15">
        <v>2</v>
      </c>
      <c r="K8" s="15">
        <v>4</v>
      </c>
      <c r="L8" s="15">
        <v>1</v>
      </c>
      <c r="M8">
        <v>10</v>
      </c>
    </row>
    <row r="9" spans="1:13" x14ac:dyDescent="0.2">
      <c r="A9" s="14" t="s">
        <v>104</v>
      </c>
      <c r="B9" s="15">
        <v>5</v>
      </c>
      <c r="C9" s="15">
        <v>1</v>
      </c>
      <c r="H9" s="15">
        <v>1</v>
      </c>
      <c r="I9" s="15">
        <v>6</v>
      </c>
      <c r="K9" s="15">
        <v>1</v>
      </c>
      <c r="L9" s="15">
        <v>6</v>
      </c>
      <c r="M9">
        <v>20</v>
      </c>
    </row>
    <row r="10" spans="1:13" x14ac:dyDescent="0.2">
      <c r="A10" s="14" t="s">
        <v>161</v>
      </c>
      <c r="I10" s="15">
        <v>1</v>
      </c>
      <c r="L10" s="15">
        <v>1</v>
      </c>
      <c r="M10">
        <v>2</v>
      </c>
    </row>
    <row r="11" spans="1:13" x14ac:dyDescent="0.2">
      <c r="A11" s="14" t="s">
        <v>50</v>
      </c>
      <c r="I11" s="15">
        <v>1</v>
      </c>
      <c r="K11" s="15">
        <v>1</v>
      </c>
      <c r="M11">
        <v>2</v>
      </c>
    </row>
    <row r="12" spans="1:13" x14ac:dyDescent="0.2">
      <c r="A12" s="14" t="s">
        <v>298</v>
      </c>
      <c r="I12" s="15">
        <v>1</v>
      </c>
      <c r="L12" s="15">
        <v>1</v>
      </c>
      <c r="M12">
        <v>2</v>
      </c>
    </row>
    <row r="13" spans="1:13" x14ac:dyDescent="0.2">
      <c r="A13" s="14" t="s">
        <v>678</v>
      </c>
      <c r="K13" s="15">
        <v>1</v>
      </c>
      <c r="M13">
        <v>1</v>
      </c>
    </row>
    <row r="14" spans="1:13" x14ac:dyDescent="0.2">
      <c r="A14" s="14" t="s">
        <v>775</v>
      </c>
      <c r="K14" s="15">
        <v>1</v>
      </c>
      <c r="M14">
        <v>1</v>
      </c>
    </row>
    <row r="15" spans="1:13" x14ac:dyDescent="0.2">
      <c r="A15" s="14" t="s">
        <v>36</v>
      </c>
      <c r="D15" s="15">
        <v>1</v>
      </c>
      <c r="F15" s="15">
        <v>1</v>
      </c>
      <c r="H15" s="15">
        <v>1</v>
      </c>
      <c r="I15" s="15">
        <v>11</v>
      </c>
      <c r="J15" s="15">
        <v>1</v>
      </c>
      <c r="K15" s="15">
        <v>1</v>
      </c>
      <c r="L15" s="15">
        <v>3</v>
      </c>
      <c r="M15">
        <v>19</v>
      </c>
    </row>
    <row r="16" spans="1:13" x14ac:dyDescent="0.2">
      <c r="A16" s="14" t="s">
        <v>121</v>
      </c>
      <c r="B16" s="15">
        <v>1</v>
      </c>
      <c r="E16" s="15">
        <v>7</v>
      </c>
      <c r="F16" s="15">
        <v>7</v>
      </c>
      <c r="I16" s="15">
        <v>2</v>
      </c>
      <c r="J16" s="15">
        <v>1</v>
      </c>
      <c r="K16" s="15">
        <v>4</v>
      </c>
      <c r="L16" s="15">
        <v>1</v>
      </c>
      <c r="M16">
        <v>23</v>
      </c>
    </row>
    <row r="17" spans="1:13" x14ac:dyDescent="0.2">
      <c r="A17" s="14" t="s">
        <v>133</v>
      </c>
      <c r="L17" s="15">
        <v>2</v>
      </c>
      <c r="M17">
        <v>2</v>
      </c>
    </row>
    <row r="18" spans="1:13" x14ac:dyDescent="0.2">
      <c r="A18" s="14" t="s">
        <v>195</v>
      </c>
      <c r="I18" s="15">
        <v>2</v>
      </c>
      <c r="M18">
        <v>2</v>
      </c>
    </row>
    <row r="19" spans="1:13" x14ac:dyDescent="0.2">
      <c r="A19" s="14" t="s">
        <v>340</v>
      </c>
      <c r="H19" s="15">
        <v>1</v>
      </c>
      <c r="I19" s="15">
        <v>1</v>
      </c>
      <c r="M19">
        <v>2</v>
      </c>
    </row>
    <row r="20" spans="1:13" x14ac:dyDescent="0.2">
      <c r="A20" s="14" t="s">
        <v>344</v>
      </c>
      <c r="F20" s="15">
        <v>1</v>
      </c>
      <c r="J20" s="15">
        <v>1</v>
      </c>
      <c r="M20">
        <v>2</v>
      </c>
    </row>
    <row r="21" spans="1:13" x14ac:dyDescent="0.2">
      <c r="A21" s="14" t="s">
        <v>96</v>
      </c>
      <c r="I21" s="15">
        <v>2</v>
      </c>
      <c r="M21">
        <v>2</v>
      </c>
    </row>
    <row r="22" spans="1:13" x14ac:dyDescent="0.2">
      <c r="A22" s="14" t="s">
        <v>92</v>
      </c>
      <c r="I22" s="15">
        <v>2</v>
      </c>
      <c r="M22">
        <v>2</v>
      </c>
    </row>
    <row r="23" spans="1:13" x14ac:dyDescent="0.2">
      <c r="A23" s="14" t="s">
        <v>41</v>
      </c>
      <c r="I23" s="15">
        <v>2</v>
      </c>
      <c r="M23">
        <v>2</v>
      </c>
    </row>
    <row r="24" spans="1:13" x14ac:dyDescent="0.2">
      <c r="A24" s="14" t="s">
        <v>4</v>
      </c>
      <c r="F24" s="15">
        <v>1</v>
      </c>
      <c r="I24" s="15">
        <v>1</v>
      </c>
      <c r="M24">
        <v>2</v>
      </c>
    </row>
    <row r="25" spans="1:13" x14ac:dyDescent="0.2">
      <c r="A25" s="14" t="s">
        <v>125</v>
      </c>
      <c r="I25" s="15">
        <v>2</v>
      </c>
      <c r="M25">
        <v>2</v>
      </c>
    </row>
    <row r="26" spans="1:13" x14ac:dyDescent="0.2">
      <c r="A26" s="14" t="s">
        <v>160</v>
      </c>
      <c r="B26" s="15">
        <v>2</v>
      </c>
      <c r="D26" s="15">
        <v>4</v>
      </c>
      <c r="F26" s="15">
        <v>1</v>
      </c>
      <c r="H26" s="15">
        <v>1</v>
      </c>
      <c r="I26" s="15">
        <v>5</v>
      </c>
      <c r="L26" s="15">
        <v>1</v>
      </c>
      <c r="M26">
        <v>14</v>
      </c>
    </row>
    <row r="27" spans="1:13" x14ac:dyDescent="0.2">
      <c r="A27" s="14" t="s">
        <v>128</v>
      </c>
      <c r="I27" s="15">
        <v>4</v>
      </c>
      <c r="M27">
        <v>4</v>
      </c>
    </row>
    <row r="28" spans="1:13" x14ac:dyDescent="0.2">
      <c r="A28" s="14" t="s">
        <v>33</v>
      </c>
      <c r="I28" s="15">
        <v>1</v>
      </c>
      <c r="M28">
        <v>1</v>
      </c>
    </row>
    <row r="29" spans="1:13" x14ac:dyDescent="0.2">
      <c r="A29" s="14" t="s">
        <v>743</v>
      </c>
      <c r="J29" s="15">
        <v>2</v>
      </c>
      <c r="M29">
        <v>2</v>
      </c>
    </row>
    <row r="30" spans="1:13" x14ac:dyDescent="0.2">
      <c r="A30" s="14" t="s">
        <v>94</v>
      </c>
      <c r="I30" s="15">
        <v>1</v>
      </c>
      <c r="M30">
        <v>1</v>
      </c>
    </row>
    <row r="31" spans="1:13" x14ac:dyDescent="0.2">
      <c r="A31" s="14" t="s">
        <v>84</v>
      </c>
      <c r="I31" s="15">
        <v>1</v>
      </c>
      <c r="M31">
        <v>1</v>
      </c>
    </row>
    <row r="32" spans="1:13" x14ac:dyDescent="0.2">
      <c r="A32" s="14" t="s">
        <v>193</v>
      </c>
      <c r="I32" s="15">
        <v>1</v>
      </c>
      <c r="M32">
        <v>1</v>
      </c>
    </row>
    <row r="33" spans="1:13" x14ac:dyDescent="0.2">
      <c r="A33" s="14" t="s">
        <v>313</v>
      </c>
      <c r="E33" s="15">
        <v>1</v>
      </c>
      <c r="I33" s="15">
        <v>1</v>
      </c>
      <c r="M33">
        <v>2</v>
      </c>
    </row>
    <row r="34" spans="1:13" x14ac:dyDescent="0.2">
      <c r="A34" s="14" t="s">
        <v>729</v>
      </c>
      <c r="I34" s="15">
        <v>1</v>
      </c>
      <c r="L34" s="15">
        <v>1</v>
      </c>
      <c r="M34">
        <v>2</v>
      </c>
    </row>
    <row r="35" spans="1:13" x14ac:dyDescent="0.2">
      <c r="A35" s="14" t="s">
        <v>15</v>
      </c>
      <c r="F35" s="15">
        <v>1</v>
      </c>
      <c r="M35">
        <v>1</v>
      </c>
    </row>
    <row r="36" spans="1:13" x14ac:dyDescent="0.2">
      <c r="A36" s="14" t="s">
        <v>768</v>
      </c>
      <c r="K36" s="15">
        <v>2</v>
      </c>
      <c r="L36" s="15">
        <v>1</v>
      </c>
      <c r="M36">
        <v>3</v>
      </c>
    </row>
    <row r="37" spans="1:13" x14ac:dyDescent="0.2">
      <c r="A37" s="14" t="s">
        <v>338</v>
      </c>
      <c r="H37" s="15">
        <v>1</v>
      </c>
      <c r="M37">
        <v>1</v>
      </c>
    </row>
    <row r="38" spans="1:13" x14ac:dyDescent="0.2">
      <c r="A38" s="14" t="s">
        <v>52</v>
      </c>
      <c r="C38" s="15">
        <v>1</v>
      </c>
      <c r="D38" s="15">
        <v>9</v>
      </c>
      <c r="E38" s="15">
        <v>1</v>
      </c>
      <c r="F38" s="15">
        <v>4</v>
      </c>
      <c r="I38" s="15">
        <v>4</v>
      </c>
      <c r="M38">
        <v>19</v>
      </c>
    </row>
    <row r="39" spans="1:13" x14ac:dyDescent="0.2">
      <c r="A39" s="14" t="s">
        <v>14</v>
      </c>
      <c r="F39" s="15">
        <v>1</v>
      </c>
      <c r="I39" s="15">
        <v>2</v>
      </c>
      <c r="M39">
        <v>3</v>
      </c>
    </row>
    <row r="40" spans="1:13" x14ac:dyDescent="0.2">
      <c r="A40" s="14" t="s">
        <v>40</v>
      </c>
      <c r="I40" s="15">
        <v>1</v>
      </c>
      <c r="M40">
        <v>1</v>
      </c>
    </row>
    <row r="41" spans="1:13" x14ac:dyDescent="0.2">
      <c r="A41" s="14" t="s">
        <v>34</v>
      </c>
      <c r="I41" s="15">
        <v>1</v>
      </c>
      <c r="M41">
        <v>1</v>
      </c>
    </row>
    <row r="42" spans="1:13" x14ac:dyDescent="0.2">
      <c r="A42" s="14" t="s">
        <v>194</v>
      </c>
      <c r="I42" s="15">
        <v>2</v>
      </c>
      <c r="M42">
        <v>2</v>
      </c>
    </row>
    <row r="43" spans="1:13" x14ac:dyDescent="0.2">
      <c r="A43" s="14" t="s">
        <v>63</v>
      </c>
      <c r="L43" s="15">
        <v>13</v>
      </c>
      <c r="M43">
        <v>13</v>
      </c>
    </row>
    <row r="44" spans="1:13" x14ac:dyDescent="0.2">
      <c r="A44" s="14" t="s">
        <v>1268</v>
      </c>
      <c r="I44" s="15">
        <v>2</v>
      </c>
      <c r="M44">
        <v>2</v>
      </c>
    </row>
    <row r="45" spans="1:13" x14ac:dyDescent="0.2">
      <c r="A45" s="14" t="s">
        <v>1267</v>
      </c>
      <c r="H45" s="15">
        <v>2</v>
      </c>
      <c r="M45">
        <v>2</v>
      </c>
    </row>
    <row r="46" spans="1:13" x14ac:dyDescent="0.2">
      <c r="A46" s="14" t="s">
        <v>1266</v>
      </c>
      <c r="I46" s="15">
        <v>1</v>
      </c>
      <c r="M46">
        <v>1</v>
      </c>
    </row>
    <row r="47" spans="1:13" x14ac:dyDescent="0.2">
      <c r="A47" s="14" t="s">
        <v>1269</v>
      </c>
      <c r="I47" s="15">
        <v>1</v>
      </c>
      <c r="M47">
        <v>1</v>
      </c>
    </row>
    <row r="48" spans="1:13" x14ac:dyDescent="0.2">
      <c r="A48" s="14" t="s">
        <v>341</v>
      </c>
      <c r="H48" s="15">
        <v>1</v>
      </c>
      <c r="M48">
        <v>1</v>
      </c>
    </row>
    <row r="49" spans="1:13" x14ac:dyDescent="0.2">
      <c r="A49" s="14" t="s">
        <v>35</v>
      </c>
      <c r="I49" s="15">
        <v>1</v>
      </c>
      <c r="M49">
        <v>1</v>
      </c>
    </row>
    <row r="50" spans="1:13" x14ac:dyDescent="0.2">
      <c r="A50" s="14" t="s">
        <v>118</v>
      </c>
      <c r="I50" s="15">
        <v>1</v>
      </c>
      <c r="M50">
        <v>1</v>
      </c>
    </row>
    <row r="51" spans="1:13" x14ac:dyDescent="0.2">
      <c r="A51" s="14" t="s">
        <v>166</v>
      </c>
      <c r="I51" s="15">
        <v>1</v>
      </c>
      <c r="M51">
        <v>1</v>
      </c>
    </row>
    <row r="52" spans="1:13" x14ac:dyDescent="0.2">
      <c r="A52" s="14" t="s">
        <v>310</v>
      </c>
      <c r="K52" s="15">
        <v>2</v>
      </c>
      <c r="M52">
        <v>2</v>
      </c>
    </row>
    <row r="53" spans="1:13" x14ac:dyDescent="0.2">
      <c r="A53" s="14" t="s">
        <v>32</v>
      </c>
      <c r="I53" s="15">
        <v>1</v>
      </c>
      <c r="M53">
        <v>1</v>
      </c>
    </row>
    <row r="54" spans="1:13" x14ac:dyDescent="0.2">
      <c r="A54" s="14" t="s">
        <v>130</v>
      </c>
      <c r="L54" s="15">
        <v>1</v>
      </c>
      <c r="M54">
        <v>1</v>
      </c>
    </row>
    <row r="55" spans="1:13" x14ac:dyDescent="0.2">
      <c r="A55" s="14" t="s">
        <v>622</v>
      </c>
      <c r="I55" s="15">
        <v>1</v>
      </c>
      <c r="M55">
        <v>1</v>
      </c>
    </row>
    <row r="56" spans="1:13" x14ac:dyDescent="0.2">
      <c r="A56" s="14" t="s">
        <v>197</v>
      </c>
      <c r="I56" s="15">
        <v>1</v>
      </c>
      <c r="M56">
        <v>1</v>
      </c>
    </row>
    <row r="57" spans="1:13" x14ac:dyDescent="0.2">
      <c r="A57" s="14" t="s">
        <v>196</v>
      </c>
      <c r="L57" s="15">
        <v>1</v>
      </c>
      <c r="M57">
        <v>1</v>
      </c>
    </row>
    <row r="58" spans="1:13" x14ac:dyDescent="0.2">
      <c r="A58" s="14" t="s">
        <v>168</v>
      </c>
      <c r="I58" s="15">
        <v>2</v>
      </c>
      <c r="M58">
        <v>2</v>
      </c>
    </row>
    <row r="59" spans="1:13" x14ac:dyDescent="0.2">
      <c r="A59" s="14" t="s">
        <v>159</v>
      </c>
      <c r="I59" s="15">
        <v>1</v>
      </c>
      <c r="M59">
        <v>1</v>
      </c>
    </row>
    <row r="60" spans="1:13" x14ac:dyDescent="0.2">
      <c r="A60" s="14" t="s">
        <v>213</v>
      </c>
      <c r="I60" s="15">
        <v>1</v>
      </c>
      <c r="M60">
        <v>1</v>
      </c>
    </row>
    <row r="61" spans="1:13" x14ac:dyDescent="0.2">
      <c r="A61" s="14" t="s">
        <v>29</v>
      </c>
      <c r="C61" s="15">
        <v>2</v>
      </c>
      <c r="I61" s="15">
        <v>12</v>
      </c>
      <c r="M61">
        <v>14</v>
      </c>
    </row>
    <row r="62" spans="1:13" x14ac:dyDescent="0.2">
      <c r="A62" s="14" t="s">
        <v>110</v>
      </c>
      <c r="I62" s="15">
        <v>1</v>
      </c>
      <c r="M62">
        <v>1</v>
      </c>
    </row>
    <row r="63" spans="1:13" x14ac:dyDescent="0.2">
      <c r="A63" s="14" t="s">
        <v>77</v>
      </c>
      <c r="C63" s="15">
        <v>2</v>
      </c>
      <c r="D63" s="15">
        <v>2</v>
      </c>
      <c r="H63" s="15">
        <v>3</v>
      </c>
      <c r="I63" s="15">
        <v>16</v>
      </c>
      <c r="J63" s="15">
        <v>5</v>
      </c>
      <c r="M63">
        <v>28</v>
      </c>
    </row>
    <row r="64" spans="1:13" x14ac:dyDescent="0.2">
      <c r="A64" s="14" t="s">
        <v>39</v>
      </c>
      <c r="I64" s="15">
        <v>1</v>
      </c>
      <c r="M64">
        <v>1</v>
      </c>
    </row>
    <row r="65" spans="1:13" x14ac:dyDescent="0.2">
      <c r="A65" s="14" t="s">
        <v>206</v>
      </c>
      <c r="I65" s="15">
        <v>1</v>
      </c>
      <c r="M65">
        <v>1</v>
      </c>
    </row>
    <row r="66" spans="1:13" x14ac:dyDescent="0.2">
      <c r="A66" s="14" t="s">
        <v>158</v>
      </c>
      <c r="K66" s="15">
        <v>1</v>
      </c>
      <c r="M66">
        <v>1</v>
      </c>
    </row>
    <row r="67" spans="1:13" x14ac:dyDescent="0.2">
      <c r="A67" s="14" t="s">
        <v>67</v>
      </c>
      <c r="B67" s="15">
        <v>1</v>
      </c>
      <c r="C67" s="15">
        <v>1</v>
      </c>
      <c r="E67" s="15">
        <v>1</v>
      </c>
      <c r="F67" s="15">
        <v>1</v>
      </c>
      <c r="M67">
        <v>4</v>
      </c>
    </row>
    <row r="68" spans="1:13" x14ac:dyDescent="0.2">
      <c r="A68" s="14" t="s">
        <v>134</v>
      </c>
      <c r="E68" s="15">
        <v>1</v>
      </c>
      <c r="M68">
        <v>1</v>
      </c>
    </row>
    <row r="69" spans="1:13" x14ac:dyDescent="0.2">
      <c r="A69" s="14" t="s">
        <v>108</v>
      </c>
      <c r="I69" s="15">
        <v>1</v>
      </c>
      <c r="M69">
        <v>1</v>
      </c>
    </row>
    <row r="70" spans="1:13" x14ac:dyDescent="0.2">
      <c r="A70" s="14" t="s">
        <v>28</v>
      </c>
      <c r="I70" s="15">
        <v>1</v>
      </c>
      <c r="M70">
        <v>1</v>
      </c>
    </row>
    <row r="71" spans="1:13" x14ac:dyDescent="0.2">
      <c r="A71" s="14" t="s">
        <v>57</v>
      </c>
      <c r="I71" s="15">
        <v>1</v>
      </c>
      <c r="M71">
        <v>1</v>
      </c>
    </row>
    <row r="72" spans="1:13" x14ac:dyDescent="0.2">
      <c r="A72" s="14" t="s">
        <v>339</v>
      </c>
      <c r="H72" s="15">
        <v>1</v>
      </c>
      <c r="M72">
        <v>1</v>
      </c>
    </row>
    <row r="73" spans="1:13" x14ac:dyDescent="0.2">
      <c r="A73" s="14" t="s">
        <v>343</v>
      </c>
      <c r="I73" s="15">
        <v>1</v>
      </c>
      <c r="M73">
        <v>1</v>
      </c>
    </row>
    <row r="74" spans="1:13" x14ac:dyDescent="0.2">
      <c r="A74" s="14" t="s">
        <v>1270</v>
      </c>
      <c r="I74" s="15">
        <v>2</v>
      </c>
      <c r="K74" s="15">
        <v>2</v>
      </c>
      <c r="M74">
        <v>4</v>
      </c>
    </row>
    <row r="75" spans="1:13" x14ac:dyDescent="0.2">
      <c r="A75" s="14" t="s">
        <v>148</v>
      </c>
      <c r="L75" s="15">
        <v>1</v>
      </c>
      <c r="M75">
        <v>1</v>
      </c>
    </row>
    <row r="76" spans="1:13" x14ac:dyDescent="0.2">
      <c r="A76" s="14" t="s">
        <v>374</v>
      </c>
      <c r="L76" s="15">
        <v>1</v>
      </c>
      <c r="M76">
        <v>1</v>
      </c>
    </row>
    <row r="77" spans="1:13" x14ac:dyDescent="0.2">
      <c r="A77" s="14" t="s">
        <v>165</v>
      </c>
      <c r="C77" s="15">
        <v>1</v>
      </c>
      <c r="D77" s="15">
        <v>3</v>
      </c>
      <c r="F77" s="15">
        <v>1</v>
      </c>
      <c r="G77" s="15">
        <v>1</v>
      </c>
      <c r="I77" s="15">
        <v>1</v>
      </c>
      <c r="M77">
        <v>7</v>
      </c>
    </row>
    <row r="78" spans="1:13" x14ac:dyDescent="0.2">
      <c r="A78" s="14" t="s">
        <v>150</v>
      </c>
      <c r="F78" s="15">
        <v>1</v>
      </c>
      <c r="M78">
        <v>1</v>
      </c>
    </row>
    <row r="79" spans="1:13" x14ac:dyDescent="0.2">
      <c r="A79" s="14" t="s">
        <v>124</v>
      </c>
      <c r="K79" s="15">
        <v>3</v>
      </c>
      <c r="M79">
        <v>3</v>
      </c>
    </row>
    <row r="80" spans="1:13" x14ac:dyDescent="0.2">
      <c r="A80" s="14" t="s">
        <v>575</v>
      </c>
      <c r="I80" s="15">
        <v>1</v>
      </c>
      <c r="M80">
        <v>1</v>
      </c>
    </row>
    <row r="81" spans="1:13" x14ac:dyDescent="0.2">
      <c r="A81" s="14" t="s">
        <v>13</v>
      </c>
      <c r="I81" s="15">
        <v>1</v>
      </c>
      <c r="M81">
        <v>1</v>
      </c>
    </row>
    <row r="82" spans="1:13" x14ac:dyDescent="0.2">
      <c r="A82" s="14" t="s">
        <v>839</v>
      </c>
      <c r="H82" s="15">
        <v>1</v>
      </c>
      <c r="M82">
        <v>1</v>
      </c>
    </row>
    <row r="83" spans="1:13" x14ac:dyDescent="0.2">
      <c r="A83" s="14" t="s">
        <v>163</v>
      </c>
      <c r="F83" s="15">
        <v>1</v>
      </c>
      <c r="M83">
        <v>1</v>
      </c>
    </row>
    <row r="84" spans="1:13" x14ac:dyDescent="0.2">
      <c r="A84" s="14" t="s">
        <v>265</v>
      </c>
      <c r="I84" s="15">
        <v>1</v>
      </c>
      <c r="M84">
        <v>1</v>
      </c>
    </row>
    <row r="85" spans="1:13" x14ac:dyDescent="0.2">
      <c r="A85" s="14" t="s">
        <v>105</v>
      </c>
      <c r="I85" s="15">
        <v>1</v>
      </c>
      <c r="M85">
        <v>1</v>
      </c>
    </row>
    <row r="86" spans="1:13" x14ac:dyDescent="0.2">
      <c r="A86" s="14" t="s">
        <v>843</v>
      </c>
      <c r="C86" s="15">
        <v>1</v>
      </c>
      <c r="M86">
        <v>1</v>
      </c>
    </row>
    <row r="87" spans="1:13" x14ac:dyDescent="0.2">
      <c r="A87" s="14" t="s">
        <v>224</v>
      </c>
      <c r="B87" s="15">
        <v>9</v>
      </c>
      <c r="C87" s="15">
        <v>10</v>
      </c>
      <c r="D87" s="15">
        <v>30</v>
      </c>
      <c r="E87" s="15">
        <v>13</v>
      </c>
      <c r="F87" s="15">
        <v>24</v>
      </c>
      <c r="G87" s="15">
        <v>1</v>
      </c>
      <c r="H87" s="15">
        <v>13</v>
      </c>
      <c r="I87" s="15">
        <v>124</v>
      </c>
      <c r="J87" s="15">
        <v>15</v>
      </c>
      <c r="K87" s="15">
        <v>30</v>
      </c>
      <c r="L87" s="15">
        <v>37</v>
      </c>
      <c r="M87">
        <v>306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6AB7B-32FC-3149-BE68-544831D24DE6}">
  <dimension ref="A1:K80"/>
  <sheetViews>
    <sheetView workbookViewId="0">
      <selection activeCell="D74" sqref="D74"/>
    </sheetView>
  </sheetViews>
  <sheetFormatPr baseColWidth="10" defaultRowHeight="16" x14ac:dyDescent="0.2"/>
  <cols>
    <col min="1" max="1" width="29" bestFit="1" customWidth="1"/>
    <col min="2" max="2" width="13" bestFit="1" customWidth="1"/>
    <col min="3" max="3" width="27.6640625" bestFit="1" customWidth="1"/>
    <col min="6" max="6" width="14" bestFit="1" customWidth="1"/>
    <col min="7" max="7" width="32" customWidth="1"/>
    <col min="8" max="8" width="11.1640625" customWidth="1"/>
    <col min="9" max="9" width="9.6640625" customWidth="1"/>
    <col min="10" max="10" width="9.33203125" customWidth="1"/>
    <col min="11" max="11" width="56.5" bestFit="1" customWidth="1"/>
  </cols>
  <sheetData>
    <row r="1" spans="1:11" x14ac:dyDescent="0.2">
      <c r="D1" s="113" t="s">
        <v>646</v>
      </c>
      <c r="E1" s="113"/>
      <c r="H1" s="113" t="s">
        <v>633</v>
      </c>
      <c r="I1" s="113"/>
      <c r="J1" s="113"/>
    </row>
    <row r="2" spans="1:11" x14ac:dyDescent="0.2">
      <c r="A2" t="s">
        <v>637</v>
      </c>
      <c r="B2" t="s">
        <v>626</v>
      </c>
      <c r="C2" t="s">
        <v>3</v>
      </c>
      <c r="D2" t="s">
        <v>627</v>
      </c>
      <c r="E2" t="s">
        <v>628</v>
      </c>
      <c r="F2" t="s">
        <v>631</v>
      </c>
      <c r="G2" t="s">
        <v>634</v>
      </c>
      <c r="H2" t="s">
        <v>644</v>
      </c>
      <c r="I2" t="s">
        <v>641</v>
      </c>
      <c r="J2" t="s">
        <v>642</v>
      </c>
      <c r="K2" t="s">
        <v>632</v>
      </c>
    </row>
    <row r="3" spans="1:11" ht="34" x14ac:dyDescent="0.2">
      <c r="A3" t="s">
        <v>663</v>
      </c>
      <c r="B3">
        <v>1882</v>
      </c>
      <c r="C3" t="s">
        <v>36</v>
      </c>
      <c r="D3">
        <v>116</v>
      </c>
      <c r="E3">
        <v>59</v>
      </c>
      <c r="F3">
        <v>12</v>
      </c>
      <c r="K3" s="42" t="s">
        <v>666</v>
      </c>
    </row>
    <row r="4" spans="1:11" ht="34" x14ac:dyDescent="0.2">
      <c r="C4" t="s">
        <v>52</v>
      </c>
      <c r="D4">
        <v>163</v>
      </c>
      <c r="E4">
        <v>54</v>
      </c>
      <c r="F4">
        <v>12</v>
      </c>
      <c r="K4" s="42" t="s">
        <v>1198</v>
      </c>
    </row>
    <row r="5" spans="1:11" ht="51" x14ac:dyDescent="0.2">
      <c r="C5" t="s">
        <v>664</v>
      </c>
      <c r="D5">
        <v>136</v>
      </c>
      <c r="E5">
        <v>52</v>
      </c>
      <c r="F5">
        <v>12</v>
      </c>
      <c r="K5" s="42" t="s">
        <v>665</v>
      </c>
    </row>
    <row r="6" spans="1:11" x14ac:dyDescent="0.2">
      <c r="A6" t="s">
        <v>662</v>
      </c>
      <c r="B6">
        <v>1884</v>
      </c>
      <c r="C6" t="s">
        <v>36</v>
      </c>
      <c r="D6">
        <v>14</v>
      </c>
      <c r="F6">
        <v>12</v>
      </c>
      <c r="G6" t="s">
        <v>636</v>
      </c>
      <c r="H6">
        <v>120</v>
      </c>
      <c r="I6">
        <v>5</v>
      </c>
      <c r="J6">
        <v>0</v>
      </c>
    </row>
    <row r="7" spans="1:11" x14ac:dyDescent="0.2">
      <c r="A7" t="s">
        <v>661</v>
      </c>
      <c r="B7">
        <v>1885</v>
      </c>
      <c r="C7" t="s">
        <v>36</v>
      </c>
      <c r="D7">
        <v>13</v>
      </c>
      <c r="F7">
        <v>12</v>
      </c>
      <c r="G7" t="s">
        <v>636</v>
      </c>
      <c r="H7">
        <v>111</v>
      </c>
      <c r="I7">
        <v>18</v>
      </c>
      <c r="J7">
        <v>9</v>
      </c>
    </row>
    <row r="8" spans="1:11" x14ac:dyDescent="0.2">
      <c r="C8" t="s">
        <v>52</v>
      </c>
      <c r="D8">
        <v>1</v>
      </c>
      <c r="E8">
        <v>2</v>
      </c>
      <c r="F8">
        <v>8</v>
      </c>
      <c r="G8" t="s">
        <v>636</v>
      </c>
      <c r="H8">
        <v>11</v>
      </c>
      <c r="I8">
        <v>9</v>
      </c>
      <c r="J8">
        <v>9</v>
      </c>
    </row>
    <row r="9" spans="1:11" x14ac:dyDescent="0.2">
      <c r="C9" t="s">
        <v>630</v>
      </c>
      <c r="D9">
        <v>15</v>
      </c>
      <c r="F9">
        <v>5</v>
      </c>
      <c r="G9" t="s">
        <v>636</v>
      </c>
      <c r="H9">
        <v>21</v>
      </c>
      <c r="I9">
        <v>17</v>
      </c>
      <c r="J9">
        <v>3</v>
      </c>
    </row>
    <row r="10" spans="1:11" x14ac:dyDescent="0.2">
      <c r="A10" t="s">
        <v>638</v>
      </c>
      <c r="B10">
        <v>1886</v>
      </c>
      <c r="C10" t="s">
        <v>36</v>
      </c>
      <c r="D10">
        <v>12</v>
      </c>
      <c r="E10">
        <v>2</v>
      </c>
      <c r="F10">
        <v>12</v>
      </c>
      <c r="G10" t="s">
        <v>635</v>
      </c>
      <c r="H10">
        <v>94</v>
      </c>
      <c r="I10">
        <v>3</v>
      </c>
      <c r="J10">
        <v>8</v>
      </c>
    </row>
    <row r="11" spans="1:11" x14ac:dyDescent="0.2">
      <c r="C11" t="s">
        <v>629</v>
      </c>
      <c r="D11">
        <v>9</v>
      </c>
      <c r="E11">
        <v>8</v>
      </c>
      <c r="F11">
        <v>12</v>
      </c>
      <c r="G11" t="s">
        <v>635</v>
      </c>
      <c r="H11">
        <v>90</v>
      </c>
      <c r="I11">
        <v>2</v>
      </c>
      <c r="J11">
        <v>6</v>
      </c>
    </row>
    <row r="12" spans="1:11" x14ac:dyDescent="0.2">
      <c r="C12" t="s">
        <v>52</v>
      </c>
      <c r="D12">
        <v>13</v>
      </c>
      <c r="F12">
        <v>10</v>
      </c>
      <c r="G12" t="s">
        <v>636</v>
      </c>
      <c r="H12">
        <v>69</v>
      </c>
      <c r="I12">
        <v>0</v>
      </c>
      <c r="J12">
        <v>5</v>
      </c>
    </row>
    <row r="13" spans="1:11" x14ac:dyDescent="0.2">
      <c r="C13" t="s">
        <v>630</v>
      </c>
      <c r="D13">
        <v>5</v>
      </c>
      <c r="F13">
        <v>6</v>
      </c>
      <c r="G13" t="s">
        <v>636</v>
      </c>
      <c r="H13">
        <v>49</v>
      </c>
      <c r="I13">
        <v>19</v>
      </c>
      <c r="J13">
        <v>10</v>
      </c>
    </row>
    <row r="14" spans="1:11" x14ac:dyDescent="0.2">
      <c r="A14" t="s">
        <v>639</v>
      </c>
      <c r="B14">
        <v>1887</v>
      </c>
      <c r="C14" t="s">
        <v>629</v>
      </c>
      <c r="D14">
        <v>7</v>
      </c>
      <c r="E14">
        <v>8</v>
      </c>
      <c r="F14">
        <v>12</v>
      </c>
      <c r="G14" t="s">
        <v>635</v>
      </c>
      <c r="H14">
        <v>74</v>
      </c>
      <c r="I14">
        <v>9</v>
      </c>
      <c r="J14">
        <v>6</v>
      </c>
    </row>
    <row r="15" spans="1:11" x14ac:dyDescent="0.2">
      <c r="C15" t="s">
        <v>36</v>
      </c>
      <c r="D15">
        <v>8</v>
      </c>
      <c r="E15">
        <v>4</v>
      </c>
      <c r="F15">
        <v>12</v>
      </c>
      <c r="G15" t="s">
        <v>635</v>
      </c>
      <c r="H15">
        <v>103</v>
      </c>
      <c r="I15">
        <v>12</v>
      </c>
      <c r="J15">
        <v>9</v>
      </c>
    </row>
    <row r="16" spans="1:11" x14ac:dyDescent="0.2">
      <c r="C16" t="s">
        <v>52</v>
      </c>
      <c r="D16">
        <v>12</v>
      </c>
      <c r="F16">
        <v>12</v>
      </c>
      <c r="G16" t="s">
        <v>636</v>
      </c>
      <c r="H16">
        <v>85</v>
      </c>
      <c r="I16">
        <v>16</v>
      </c>
      <c r="J16">
        <v>0</v>
      </c>
    </row>
    <row r="17" spans="1:11" x14ac:dyDescent="0.2">
      <c r="C17" t="s">
        <v>630</v>
      </c>
      <c r="D17">
        <v>6</v>
      </c>
      <c r="F17">
        <v>12</v>
      </c>
      <c r="G17" t="s">
        <v>636</v>
      </c>
      <c r="H17">
        <v>58</v>
      </c>
      <c r="I17">
        <v>3</v>
      </c>
      <c r="J17">
        <v>9</v>
      </c>
    </row>
    <row r="18" spans="1:11" x14ac:dyDescent="0.2">
      <c r="A18" t="s">
        <v>640</v>
      </c>
      <c r="B18">
        <v>1888</v>
      </c>
      <c r="C18" t="s">
        <v>54</v>
      </c>
      <c r="D18">
        <v>11</v>
      </c>
      <c r="E18">
        <v>7</v>
      </c>
      <c r="F18">
        <v>12</v>
      </c>
      <c r="G18" t="s">
        <v>636</v>
      </c>
      <c r="H18">
        <v>139</v>
      </c>
      <c r="I18">
        <v>19</v>
      </c>
      <c r="J18">
        <v>7</v>
      </c>
      <c r="K18" t="s">
        <v>645</v>
      </c>
    </row>
    <row r="19" spans="1:11" x14ac:dyDescent="0.2">
      <c r="C19" t="s">
        <v>629</v>
      </c>
      <c r="D19">
        <v>9</v>
      </c>
      <c r="E19">
        <v>8</v>
      </c>
      <c r="F19">
        <v>3</v>
      </c>
      <c r="G19" t="s">
        <v>636</v>
      </c>
      <c r="H19">
        <v>21</v>
      </c>
      <c r="I19">
        <v>11</v>
      </c>
      <c r="J19">
        <v>9</v>
      </c>
    </row>
    <row r="20" spans="1:11" x14ac:dyDescent="0.2">
      <c r="C20" t="s">
        <v>36</v>
      </c>
      <c r="D20">
        <v>16</v>
      </c>
      <c r="E20">
        <v>8</v>
      </c>
      <c r="F20">
        <v>12</v>
      </c>
      <c r="G20" t="s">
        <v>636</v>
      </c>
      <c r="H20">
        <v>135</v>
      </c>
      <c r="I20">
        <v>13</v>
      </c>
      <c r="J20">
        <v>3</v>
      </c>
    </row>
    <row r="21" spans="1:11" x14ac:dyDescent="0.2">
      <c r="C21" t="s">
        <v>52</v>
      </c>
      <c r="D21">
        <v>13</v>
      </c>
      <c r="E21">
        <v>1</v>
      </c>
      <c r="F21">
        <v>12</v>
      </c>
      <c r="G21" t="s">
        <v>636</v>
      </c>
      <c r="H21">
        <v>87</v>
      </c>
      <c r="I21">
        <v>6</v>
      </c>
      <c r="J21">
        <v>10</v>
      </c>
    </row>
    <row r="22" spans="1:11" x14ac:dyDescent="0.2">
      <c r="C22" t="s">
        <v>630</v>
      </c>
      <c r="D22">
        <v>5</v>
      </c>
      <c r="F22">
        <v>3</v>
      </c>
      <c r="G22" t="s">
        <v>636</v>
      </c>
      <c r="H22">
        <v>13</v>
      </c>
      <c r="I22">
        <v>9</v>
      </c>
      <c r="J22">
        <v>5</v>
      </c>
    </row>
    <row r="23" spans="1:11" x14ac:dyDescent="0.2">
      <c r="C23" t="s">
        <v>302</v>
      </c>
      <c r="D23">
        <v>3</v>
      </c>
      <c r="F23">
        <v>5</v>
      </c>
      <c r="G23" t="s">
        <v>635</v>
      </c>
      <c r="H23">
        <v>13</v>
      </c>
      <c r="I23">
        <v>12</v>
      </c>
      <c r="J23">
        <v>4</v>
      </c>
    </row>
    <row r="24" spans="1:11" x14ac:dyDescent="0.2">
      <c r="A24" t="s">
        <v>643</v>
      </c>
      <c r="B24">
        <v>1889</v>
      </c>
      <c r="C24" t="s">
        <v>54</v>
      </c>
      <c r="D24">
        <v>11</v>
      </c>
      <c r="E24">
        <v>7</v>
      </c>
      <c r="F24">
        <v>12</v>
      </c>
      <c r="G24" t="s">
        <v>636</v>
      </c>
      <c r="H24">
        <v>130</v>
      </c>
      <c r="I24">
        <v>6</v>
      </c>
      <c r="J24">
        <v>11</v>
      </c>
    </row>
    <row r="25" spans="1:11" x14ac:dyDescent="0.2">
      <c r="C25" t="s">
        <v>36</v>
      </c>
      <c r="D25">
        <v>33</v>
      </c>
      <c r="E25">
        <v>23</v>
      </c>
      <c r="F25">
        <v>6</v>
      </c>
      <c r="G25" t="s">
        <v>636</v>
      </c>
      <c r="H25">
        <v>141</v>
      </c>
      <c r="I25">
        <v>9</v>
      </c>
      <c r="J25">
        <v>5</v>
      </c>
    </row>
    <row r="26" spans="1:11" x14ac:dyDescent="0.2">
      <c r="C26" t="s">
        <v>52</v>
      </c>
      <c r="D26">
        <v>11</v>
      </c>
      <c r="F26">
        <v>12</v>
      </c>
      <c r="G26" t="s">
        <v>635</v>
      </c>
      <c r="H26">
        <v>87</v>
      </c>
      <c r="I26">
        <v>10</v>
      </c>
      <c r="J26">
        <v>6</v>
      </c>
    </row>
    <row r="27" spans="1:11" x14ac:dyDescent="0.2">
      <c r="C27" t="s">
        <v>202</v>
      </c>
      <c r="D27">
        <v>5</v>
      </c>
      <c r="F27">
        <v>6</v>
      </c>
      <c r="G27" t="s">
        <v>634</v>
      </c>
      <c r="H27">
        <v>29</v>
      </c>
      <c r="I27">
        <v>5</v>
      </c>
      <c r="J27">
        <v>10</v>
      </c>
    </row>
    <row r="28" spans="1:11" x14ac:dyDescent="0.2">
      <c r="C28" t="s">
        <v>165</v>
      </c>
      <c r="D28">
        <v>5</v>
      </c>
      <c r="F28">
        <v>12</v>
      </c>
      <c r="G28" t="s">
        <v>636</v>
      </c>
      <c r="H28">
        <v>23</v>
      </c>
      <c r="I28">
        <v>11</v>
      </c>
      <c r="J28">
        <v>3</v>
      </c>
    </row>
    <row r="29" spans="1:11" x14ac:dyDescent="0.2">
      <c r="C29" t="s">
        <v>150</v>
      </c>
      <c r="D29">
        <v>2</v>
      </c>
      <c r="F29">
        <v>12</v>
      </c>
      <c r="G29" t="s">
        <v>636</v>
      </c>
      <c r="H29">
        <v>17</v>
      </c>
      <c r="I29">
        <v>4</v>
      </c>
      <c r="J29">
        <v>6</v>
      </c>
    </row>
    <row r="30" spans="1:11" x14ac:dyDescent="0.2">
      <c r="A30" t="s">
        <v>647</v>
      </c>
      <c r="B30">
        <v>1890</v>
      </c>
      <c r="C30" t="s">
        <v>54</v>
      </c>
      <c r="D30">
        <v>14</v>
      </c>
      <c r="E30">
        <v>9</v>
      </c>
      <c r="F30">
        <v>12</v>
      </c>
      <c r="G30" t="s">
        <v>636</v>
      </c>
      <c r="H30">
        <v>159</v>
      </c>
      <c r="I30">
        <v>18</v>
      </c>
      <c r="J30">
        <v>5</v>
      </c>
    </row>
    <row r="31" spans="1:11" x14ac:dyDescent="0.2">
      <c r="C31" t="s">
        <v>52</v>
      </c>
      <c r="D31">
        <v>35</v>
      </c>
      <c r="E31">
        <v>1</v>
      </c>
      <c r="F31">
        <v>12</v>
      </c>
      <c r="G31" t="s">
        <v>635</v>
      </c>
      <c r="H31">
        <v>104</v>
      </c>
      <c r="I31">
        <v>0</v>
      </c>
      <c r="J31">
        <v>3</v>
      </c>
    </row>
    <row r="32" spans="1:11" x14ac:dyDescent="0.2">
      <c r="C32" t="s">
        <v>202</v>
      </c>
      <c r="D32">
        <v>5</v>
      </c>
      <c r="E32">
        <v>12</v>
      </c>
      <c r="F32">
        <v>12</v>
      </c>
      <c r="G32" t="s">
        <v>636</v>
      </c>
      <c r="H32">
        <v>52</v>
      </c>
      <c r="I32">
        <v>12</v>
      </c>
      <c r="J32">
        <v>6</v>
      </c>
    </row>
    <row r="33" spans="1:11" x14ac:dyDescent="0.2">
      <c r="C33" t="s">
        <v>165</v>
      </c>
      <c r="D33">
        <v>8</v>
      </c>
      <c r="F33">
        <v>12</v>
      </c>
      <c r="G33" t="s">
        <v>636</v>
      </c>
      <c r="H33">
        <v>39</v>
      </c>
      <c r="I33">
        <v>2</v>
      </c>
      <c r="J33">
        <v>11</v>
      </c>
    </row>
    <row r="34" spans="1:11" x14ac:dyDescent="0.2">
      <c r="C34" t="s">
        <v>150</v>
      </c>
      <c r="D34">
        <v>2</v>
      </c>
      <c r="F34">
        <v>12</v>
      </c>
      <c r="G34" t="s">
        <v>636</v>
      </c>
      <c r="H34">
        <v>17</v>
      </c>
      <c r="I34">
        <v>4</v>
      </c>
      <c r="J34">
        <v>6</v>
      </c>
    </row>
    <row r="35" spans="1:11" x14ac:dyDescent="0.2">
      <c r="A35" t="s">
        <v>648</v>
      </c>
      <c r="B35">
        <v>1891</v>
      </c>
      <c r="C35" t="s">
        <v>36</v>
      </c>
      <c r="D35">
        <v>28</v>
      </c>
      <c r="E35">
        <v>16</v>
      </c>
      <c r="F35">
        <v>12</v>
      </c>
      <c r="K35" t="s">
        <v>649</v>
      </c>
    </row>
    <row r="36" spans="1:11" x14ac:dyDescent="0.2">
      <c r="C36" t="s">
        <v>54</v>
      </c>
      <c r="D36">
        <v>12</v>
      </c>
      <c r="E36">
        <v>11</v>
      </c>
      <c r="F36">
        <v>12</v>
      </c>
      <c r="G36" t="s">
        <v>636</v>
      </c>
      <c r="H36">
        <v>164</v>
      </c>
      <c r="I36">
        <v>11</v>
      </c>
      <c r="J36">
        <v>10</v>
      </c>
    </row>
    <row r="37" spans="1:11" x14ac:dyDescent="0.2">
      <c r="C37" t="s">
        <v>52</v>
      </c>
      <c r="D37">
        <v>10</v>
      </c>
      <c r="F37">
        <v>12</v>
      </c>
      <c r="G37" t="s">
        <v>636</v>
      </c>
      <c r="H37">
        <v>75</v>
      </c>
      <c r="I37">
        <v>0</v>
      </c>
      <c r="J37">
        <v>1</v>
      </c>
    </row>
    <row r="38" spans="1:11" x14ac:dyDescent="0.2">
      <c r="C38" t="s">
        <v>202</v>
      </c>
      <c r="D38">
        <v>5</v>
      </c>
      <c r="F38">
        <v>12</v>
      </c>
      <c r="G38" t="s">
        <v>636</v>
      </c>
      <c r="H38">
        <v>57</v>
      </c>
      <c r="I38">
        <v>3</v>
      </c>
      <c r="J38">
        <v>9</v>
      </c>
    </row>
    <row r="39" spans="1:11" x14ac:dyDescent="0.2">
      <c r="C39" t="s">
        <v>165</v>
      </c>
      <c r="D39">
        <v>4</v>
      </c>
      <c r="F39">
        <v>12</v>
      </c>
      <c r="G39" t="s">
        <v>636</v>
      </c>
      <c r="H39">
        <v>27</v>
      </c>
      <c r="I39">
        <v>6</v>
      </c>
      <c r="J39">
        <v>7</v>
      </c>
    </row>
    <row r="40" spans="1:11" x14ac:dyDescent="0.2">
      <c r="C40" t="s">
        <v>150</v>
      </c>
      <c r="D40">
        <v>2</v>
      </c>
      <c r="F40">
        <v>12</v>
      </c>
      <c r="G40" t="s">
        <v>636</v>
      </c>
      <c r="H40">
        <v>23</v>
      </c>
      <c r="I40">
        <v>1</v>
      </c>
      <c r="J40">
        <v>6</v>
      </c>
    </row>
    <row r="41" spans="1:11" x14ac:dyDescent="0.2">
      <c r="A41" t="s">
        <v>650</v>
      </c>
      <c r="B41">
        <v>1892</v>
      </c>
      <c r="C41" t="s">
        <v>54</v>
      </c>
      <c r="D41">
        <v>16</v>
      </c>
      <c r="E41">
        <v>13</v>
      </c>
      <c r="F41">
        <v>12</v>
      </c>
      <c r="G41" t="s">
        <v>636</v>
      </c>
      <c r="H41">
        <v>189</v>
      </c>
      <c r="I41">
        <v>14</v>
      </c>
      <c r="J41">
        <v>11</v>
      </c>
    </row>
    <row r="42" spans="1:11" x14ac:dyDescent="0.2">
      <c r="C42" t="s">
        <v>52</v>
      </c>
      <c r="D42">
        <v>10</v>
      </c>
      <c r="F42">
        <v>12</v>
      </c>
      <c r="G42" t="s">
        <v>636</v>
      </c>
      <c r="H42">
        <v>50</v>
      </c>
      <c r="I42">
        <v>15</v>
      </c>
      <c r="J42">
        <v>5</v>
      </c>
    </row>
    <row r="43" spans="1:11" x14ac:dyDescent="0.2">
      <c r="C43" t="s">
        <v>302</v>
      </c>
      <c r="D43">
        <v>5</v>
      </c>
      <c r="F43">
        <v>12</v>
      </c>
      <c r="G43" t="s">
        <v>636</v>
      </c>
      <c r="H43">
        <v>58</v>
      </c>
      <c r="I43">
        <v>14</v>
      </c>
      <c r="J43">
        <v>10</v>
      </c>
    </row>
    <row r="44" spans="1:11" x14ac:dyDescent="0.2">
      <c r="C44" t="s">
        <v>165</v>
      </c>
      <c r="D44">
        <v>3</v>
      </c>
      <c r="F44">
        <v>9</v>
      </c>
      <c r="G44" t="s">
        <v>636</v>
      </c>
      <c r="H44">
        <v>11</v>
      </c>
      <c r="I44">
        <v>11</v>
      </c>
      <c r="J44">
        <v>7</v>
      </c>
    </row>
    <row r="45" spans="1:11" x14ac:dyDescent="0.2">
      <c r="C45" t="s">
        <v>150</v>
      </c>
      <c r="D45">
        <v>2</v>
      </c>
      <c r="F45">
        <v>12</v>
      </c>
      <c r="G45" t="s">
        <v>636</v>
      </c>
      <c r="H45">
        <v>22</v>
      </c>
      <c r="I45">
        <v>10</v>
      </c>
      <c r="J45">
        <v>6</v>
      </c>
    </row>
    <row r="46" spans="1:11" x14ac:dyDescent="0.2">
      <c r="C46" t="s">
        <v>36</v>
      </c>
      <c r="D46">
        <v>37</v>
      </c>
      <c r="E46">
        <v>23</v>
      </c>
      <c r="F46">
        <v>12</v>
      </c>
      <c r="K46" t="s">
        <v>649</v>
      </c>
    </row>
    <row r="47" spans="1:11" x14ac:dyDescent="0.2">
      <c r="A47" t="s">
        <v>651</v>
      </c>
      <c r="B47">
        <v>1893</v>
      </c>
      <c r="C47" t="s">
        <v>54</v>
      </c>
      <c r="D47">
        <v>13</v>
      </c>
      <c r="E47">
        <v>9</v>
      </c>
      <c r="F47">
        <v>12</v>
      </c>
      <c r="G47" t="s">
        <v>636</v>
      </c>
      <c r="H47">
        <v>134</v>
      </c>
      <c r="I47">
        <v>10</v>
      </c>
      <c r="J47">
        <v>3</v>
      </c>
    </row>
    <row r="48" spans="1:11" x14ac:dyDescent="0.2">
      <c r="C48" t="s">
        <v>52</v>
      </c>
      <c r="D48">
        <v>7</v>
      </c>
      <c r="F48">
        <v>12</v>
      </c>
      <c r="G48" t="s">
        <v>636</v>
      </c>
      <c r="H48">
        <v>27</v>
      </c>
      <c r="I48">
        <v>9</v>
      </c>
      <c r="J48">
        <v>4</v>
      </c>
    </row>
    <row r="49" spans="1:11" x14ac:dyDescent="0.2">
      <c r="C49" t="s">
        <v>302</v>
      </c>
      <c r="D49">
        <v>6</v>
      </c>
      <c r="F49">
        <v>12</v>
      </c>
      <c r="G49" t="s">
        <v>636</v>
      </c>
      <c r="H49">
        <v>61</v>
      </c>
      <c r="I49">
        <v>8</v>
      </c>
      <c r="J49">
        <v>6</v>
      </c>
    </row>
    <row r="50" spans="1:11" x14ac:dyDescent="0.2">
      <c r="C50" t="s">
        <v>150</v>
      </c>
      <c r="D50">
        <v>2</v>
      </c>
      <c r="F50">
        <v>12</v>
      </c>
      <c r="G50" t="s">
        <v>636</v>
      </c>
      <c r="H50">
        <v>20</v>
      </c>
      <c r="I50">
        <v>9</v>
      </c>
      <c r="J50">
        <v>6</v>
      </c>
    </row>
    <row r="51" spans="1:11" x14ac:dyDescent="0.2">
      <c r="A51" t="s">
        <v>652</v>
      </c>
      <c r="B51">
        <v>1894</v>
      </c>
      <c r="C51" t="s">
        <v>54</v>
      </c>
      <c r="D51">
        <v>17</v>
      </c>
      <c r="E51">
        <v>11</v>
      </c>
      <c r="F51">
        <v>12</v>
      </c>
      <c r="G51" t="s">
        <v>636</v>
      </c>
      <c r="H51">
        <v>102</v>
      </c>
      <c r="I51">
        <v>7</v>
      </c>
      <c r="J51">
        <v>7</v>
      </c>
    </row>
    <row r="52" spans="1:11" x14ac:dyDescent="0.2">
      <c r="C52" t="s">
        <v>653</v>
      </c>
      <c r="D52">
        <v>7</v>
      </c>
      <c r="E52">
        <v>8</v>
      </c>
      <c r="F52">
        <v>12</v>
      </c>
      <c r="G52" t="s">
        <v>636</v>
      </c>
      <c r="H52">
        <v>92</v>
      </c>
      <c r="I52">
        <v>8</v>
      </c>
      <c r="J52">
        <v>7</v>
      </c>
    </row>
    <row r="53" spans="1:11" x14ac:dyDescent="0.2">
      <c r="C53" t="s">
        <v>52</v>
      </c>
      <c r="D53">
        <v>13</v>
      </c>
      <c r="E53">
        <v>2</v>
      </c>
      <c r="F53">
        <v>12</v>
      </c>
      <c r="G53" t="s">
        <v>636</v>
      </c>
      <c r="H53">
        <v>71</v>
      </c>
      <c r="I53">
        <v>1</v>
      </c>
      <c r="J53">
        <v>1</v>
      </c>
    </row>
    <row r="54" spans="1:11" x14ac:dyDescent="0.2">
      <c r="C54" t="s">
        <v>302</v>
      </c>
      <c r="D54">
        <v>5</v>
      </c>
      <c r="E54">
        <v>2</v>
      </c>
      <c r="F54">
        <v>12</v>
      </c>
      <c r="G54" t="s">
        <v>636</v>
      </c>
      <c r="H54">
        <v>34</v>
      </c>
      <c r="I54">
        <v>4</v>
      </c>
      <c r="J54">
        <v>5</v>
      </c>
    </row>
    <row r="55" spans="1:11" x14ac:dyDescent="0.2">
      <c r="C55" t="s">
        <v>165</v>
      </c>
      <c r="D55">
        <v>2</v>
      </c>
      <c r="F55">
        <v>0.25</v>
      </c>
      <c r="G55" t="s">
        <v>636</v>
      </c>
      <c r="H55" t="s">
        <v>654</v>
      </c>
      <c r="I55">
        <v>5</v>
      </c>
      <c r="J55">
        <v>1</v>
      </c>
    </row>
    <row r="56" spans="1:11" x14ac:dyDescent="0.2">
      <c r="C56" t="s">
        <v>150</v>
      </c>
      <c r="D56">
        <v>2</v>
      </c>
      <c r="F56">
        <v>12</v>
      </c>
      <c r="G56" t="s">
        <v>636</v>
      </c>
      <c r="H56">
        <v>16</v>
      </c>
      <c r="I56">
        <v>2</v>
      </c>
      <c r="J56">
        <v>2</v>
      </c>
    </row>
    <row r="57" spans="1:11" x14ac:dyDescent="0.2">
      <c r="C57" t="s">
        <v>36</v>
      </c>
      <c r="D57">
        <v>42</v>
      </c>
      <c r="E57">
        <v>27</v>
      </c>
      <c r="F57">
        <v>12</v>
      </c>
      <c r="K57" t="s">
        <v>649</v>
      </c>
    </row>
    <row r="58" spans="1:11" x14ac:dyDescent="0.2">
      <c r="A58" t="s">
        <v>657</v>
      </c>
      <c r="B58">
        <v>1896</v>
      </c>
      <c r="C58" t="s">
        <v>54</v>
      </c>
      <c r="D58">
        <v>18</v>
      </c>
      <c r="E58">
        <v>18</v>
      </c>
      <c r="F58">
        <v>12</v>
      </c>
      <c r="G58" t="s">
        <v>636</v>
      </c>
      <c r="H58">
        <v>114</v>
      </c>
      <c r="I58">
        <v>1</v>
      </c>
      <c r="J58">
        <v>0</v>
      </c>
    </row>
    <row r="59" spans="1:11" x14ac:dyDescent="0.2">
      <c r="C59" t="s">
        <v>653</v>
      </c>
      <c r="D59">
        <v>8</v>
      </c>
      <c r="E59">
        <v>17</v>
      </c>
      <c r="F59">
        <v>12</v>
      </c>
      <c r="G59" t="s">
        <v>636</v>
      </c>
      <c r="H59">
        <v>105</v>
      </c>
      <c r="I59">
        <v>7</v>
      </c>
      <c r="J59">
        <v>3</v>
      </c>
    </row>
    <row r="60" spans="1:11" x14ac:dyDescent="0.2">
      <c r="C60" t="s">
        <v>52</v>
      </c>
      <c r="D60">
        <v>13</v>
      </c>
      <c r="E60">
        <v>3</v>
      </c>
      <c r="F60">
        <v>12</v>
      </c>
      <c r="G60" t="s">
        <v>635</v>
      </c>
      <c r="H60">
        <v>88</v>
      </c>
      <c r="I60">
        <v>17</v>
      </c>
      <c r="J60">
        <v>11</v>
      </c>
    </row>
    <row r="61" spans="1:11" x14ac:dyDescent="0.2">
      <c r="C61" t="s">
        <v>302</v>
      </c>
      <c r="D61">
        <v>18</v>
      </c>
      <c r="E61">
        <v>13</v>
      </c>
      <c r="F61">
        <v>12</v>
      </c>
      <c r="G61" t="s">
        <v>635</v>
      </c>
      <c r="H61">
        <v>178</v>
      </c>
      <c r="I61">
        <v>7</v>
      </c>
      <c r="J61">
        <v>7</v>
      </c>
    </row>
    <row r="62" spans="1:11" x14ac:dyDescent="0.2">
      <c r="C62" t="s">
        <v>165</v>
      </c>
      <c r="D62">
        <v>7</v>
      </c>
      <c r="E62">
        <v>12</v>
      </c>
      <c r="F62">
        <v>12</v>
      </c>
      <c r="G62" t="s">
        <v>636</v>
      </c>
      <c r="H62">
        <v>56</v>
      </c>
      <c r="I62">
        <v>16</v>
      </c>
      <c r="J62">
        <v>2</v>
      </c>
    </row>
    <row r="63" spans="1:11" x14ac:dyDescent="0.2">
      <c r="C63" t="s">
        <v>150</v>
      </c>
      <c r="D63">
        <v>1</v>
      </c>
      <c r="F63">
        <v>12</v>
      </c>
      <c r="G63" t="s">
        <v>636</v>
      </c>
      <c r="H63">
        <v>10</v>
      </c>
      <c r="I63">
        <v>9</v>
      </c>
      <c r="J63">
        <v>5</v>
      </c>
    </row>
    <row r="64" spans="1:11" x14ac:dyDescent="0.2">
      <c r="C64" t="s">
        <v>36</v>
      </c>
      <c r="D64">
        <v>20</v>
      </c>
      <c r="E64">
        <v>27</v>
      </c>
      <c r="F64">
        <v>12</v>
      </c>
      <c r="K64" t="s">
        <v>649</v>
      </c>
    </row>
    <row r="65" spans="1:10" x14ac:dyDescent="0.2">
      <c r="A65" t="s">
        <v>656</v>
      </c>
      <c r="B65">
        <v>1897</v>
      </c>
      <c r="C65" t="s">
        <v>54</v>
      </c>
      <c r="D65">
        <v>21</v>
      </c>
      <c r="E65">
        <v>13</v>
      </c>
      <c r="F65">
        <v>12</v>
      </c>
      <c r="G65" t="s">
        <v>635</v>
      </c>
      <c r="H65">
        <v>124</v>
      </c>
      <c r="I65">
        <v>14</v>
      </c>
      <c r="J65">
        <v>7</v>
      </c>
    </row>
    <row r="66" spans="1:10" ht="68" x14ac:dyDescent="0.2">
      <c r="C66" t="s">
        <v>36</v>
      </c>
      <c r="D66">
        <v>25</v>
      </c>
      <c r="E66">
        <v>26</v>
      </c>
      <c r="F66">
        <v>12</v>
      </c>
      <c r="G66" s="42" t="s">
        <v>655</v>
      </c>
      <c r="H66">
        <v>265</v>
      </c>
      <c r="I66">
        <v>10</v>
      </c>
      <c r="J66">
        <v>8</v>
      </c>
    </row>
    <row r="67" spans="1:10" x14ac:dyDescent="0.2">
      <c r="C67" t="s">
        <v>653</v>
      </c>
      <c r="D67">
        <v>7</v>
      </c>
      <c r="E67">
        <v>18</v>
      </c>
      <c r="F67">
        <v>12</v>
      </c>
      <c r="G67" t="s">
        <v>636</v>
      </c>
      <c r="H67">
        <v>112</v>
      </c>
      <c r="I67">
        <v>17</v>
      </c>
      <c r="J67">
        <v>5</v>
      </c>
    </row>
    <row r="68" spans="1:10" x14ac:dyDescent="0.2">
      <c r="C68" t="s">
        <v>52</v>
      </c>
      <c r="D68">
        <v>11</v>
      </c>
      <c r="F68">
        <v>12</v>
      </c>
      <c r="G68" t="s">
        <v>635</v>
      </c>
      <c r="H68">
        <v>79</v>
      </c>
      <c r="I68">
        <v>9</v>
      </c>
      <c r="J68">
        <v>5</v>
      </c>
    </row>
    <row r="69" spans="1:10" x14ac:dyDescent="0.2">
      <c r="C69" t="s">
        <v>660</v>
      </c>
      <c r="D69">
        <v>4</v>
      </c>
      <c r="F69">
        <v>12</v>
      </c>
      <c r="G69" t="s">
        <v>636</v>
      </c>
      <c r="H69">
        <v>23</v>
      </c>
      <c r="I69">
        <v>9</v>
      </c>
      <c r="J69">
        <v>8</v>
      </c>
    </row>
    <row r="70" spans="1:10" x14ac:dyDescent="0.2">
      <c r="C70" t="s">
        <v>302</v>
      </c>
      <c r="D70">
        <v>19</v>
      </c>
      <c r="E70">
        <v>9</v>
      </c>
      <c r="F70">
        <v>12</v>
      </c>
      <c r="G70" t="s">
        <v>635</v>
      </c>
      <c r="H70">
        <v>212</v>
      </c>
      <c r="I70">
        <v>8</v>
      </c>
      <c r="J70">
        <v>1</v>
      </c>
    </row>
    <row r="71" spans="1:10" x14ac:dyDescent="0.2">
      <c r="C71" t="s">
        <v>165</v>
      </c>
      <c r="D71">
        <v>5</v>
      </c>
      <c r="E71">
        <v>10</v>
      </c>
      <c r="F71">
        <v>12</v>
      </c>
      <c r="G71" t="s">
        <v>636</v>
      </c>
      <c r="H71">
        <v>77</v>
      </c>
      <c r="I71">
        <v>19</v>
      </c>
      <c r="J71">
        <v>3</v>
      </c>
    </row>
    <row r="72" spans="1:10" x14ac:dyDescent="0.2">
      <c r="C72" t="s">
        <v>150</v>
      </c>
      <c r="D72">
        <v>3</v>
      </c>
      <c r="F72">
        <v>12</v>
      </c>
      <c r="G72" t="s">
        <v>636</v>
      </c>
      <c r="H72">
        <v>19</v>
      </c>
      <c r="I72">
        <v>11</v>
      </c>
      <c r="J72">
        <v>9</v>
      </c>
    </row>
    <row r="73" spans="1:10" x14ac:dyDescent="0.2">
      <c r="A73" t="s">
        <v>658</v>
      </c>
      <c r="B73">
        <v>1898</v>
      </c>
      <c r="C73" t="s">
        <v>54</v>
      </c>
      <c r="D73">
        <v>24</v>
      </c>
      <c r="E73">
        <v>10</v>
      </c>
      <c r="F73">
        <v>12</v>
      </c>
      <c r="G73" t="s">
        <v>635</v>
      </c>
      <c r="H73">
        <v>182</v>
      </c>
      <c r="I73">
        <v>10</v>
      </c>
      <c r="J73">
        <v>3</v>
      </c>
    </row>
    <row r="74" spans="1:10" ht="51" x14ac:dyDescent="0.2">
      <c r="C74" t="s">
        <v>36</v>
      </c>
      <c r="D74">
        <v>21</v>
      </c>
      <c r="E74">
        <v>23</v>
      </c>
      <c r="F74">
        <v>12</v>
      </c>
      <c r="G74" s="42" t="s">
        <v>659</v>
      </c>
      <c r="H74">
        <v>134</v>
      </c>
      <c r="I74">
        <v>13</v>
      </c>
      <c r="J74">
        <v>6</v>
      </c>
    </row>
    <row r="75" spans="1:10" x14ac:dyDescent="0.2">
      <c r="C75" t="s">
        <v>653</v>
      </c>
      <c r="D75">
        <v>7</v>
      </c>
      <c r="E75">
        <v>18</v>
      </c>
      <c r="F75">
        <v>12</v>
      </c>
      <c r="G75" t="s">
        <v>636</v>
      </c>
      <c r="H75">
        <v>114</v>
      </c>
      <c r="I75">
        <v>15</v>
      </c>
      <c r="J75">
        <v>11</v>
      </c>
    </row>
    <row r="76" spans="1:10" x14ac:dyDescent="0.2">
      <c r="C76" t="s">
        <v>52</v>
      </c>
      <c r="D76">
        <v>22</v>
      </c>
      <c r="E76">
        <v>3</v>
      </c>
      <c r="F76">
        <v>12</v>
      </c>
      <c r="G76" t="s">
        <v>635</v>
      </c>
      <c r="H76">
        <v>179</v>
      </c>
      <c r="I76">
        <v>2</v>
      </c>
      <c r="J76">
        <v>3</v>
      </c>
    </row>
    <row r="77" spans="1:10" x14ac:dyDescent="0.2">
      <c r="C77" t="s">
        <v>660</v>
      </c>
      <c r="D77">
        <v>3</v>
      </c>
      <c r="F77">
        <v>12</v>
      </c>
      <c r="G77" t="s">
        <v>636</v>
      </c>
      <c r="H77">
        <v>24</v>
      </c>
      <c r="I77">
        <v>1</v>
      </c>
      <c r="J77">
        <v>3</v>
      </c>
    </row>
    <row r="78" spans="1:10" x14ac:dyDescent="0.2">
      <c r="C78" t="s">
        <v>302</v>
      </c>
      <c r="D78">
        <v>17</v>
      </c>
      <c r="E78">
        <v>7</v>
      </c>
      <c r="F78">
        <v>12</v>
      </c>
      <c r="G78" t="s">
        <v>636</v>
      </c>
      <c r="H78">
        <v>204</v>
      </c>
      <c r="I78">
        <v>19</v>
      </c>
      <c r="J78">
        <v>7</v>
      </c>
    </row>
    <row r="79" spans="1:10" x14ac:dyDescent="0.2">
      <c r="C79" t="s">
        <v>165</v>
      </c>
      <c r="D79">
        <v>9</v>
      </c>
      <c r="E79">
        <v>11</v>
      </c>
      <c r="F79">
        <v>12</v>
      </c>
      <c r="G79" t="s">
        <v>636</v>
      </c>
      <c r="H79">
        <v>81</v>
      </c>
      <c r="I79">
        <v>0</v>
      </c>
      <c r="J79">
        <v>6</v>
      </c>
    </row>
    <row r="80" spans="1:10" x14ac:dyDescent="0.2">
      <c r="C80" t="s">
        <v>150</v>
      </c>
      <c r="D80">
        <v>5</v>
      </c>
      <c r="E80">
        <v>1</v>
      </c>
      <c r="F80">
        <v>12</v>
      </c>
      <c r="G80" t="s">
        <v>636</v>
      </c>
      <c r="H80">
        <v>36</v>
      </c>
      <c r="I80">
        <v>11</v>
      </c>
      <c r="J80">
        <v>6</v>
      </c>
    </row>
  </sheetData>
  <mergeCells count="2">
    <mergeCell ref="H1:J1"/>
    <mergeCell ref="D1:E1"/>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Dataset Schema</vt:lpstr>
      <vt:lpstr>Definitions</vt:lpstr>
      <vt:lpstr>Dataset</vt:lpstr>
      <vt:lpstr>period</vt:lpstr>
      <vt:lpstr>historical_theme data</vt:lpstr>
      <vt:lpstr>place_category data</vt:lpstr>
      <vt:lpstr>place_type data</vt:lpstr>
      <vt:lpstr>place_type by place_category</vt:lpstr>
      <vt:lpstr>place_name count</vt:lpstr>
      <vt:lpstr>place_name by coorindates_prec</vt:lpstr>
      <vt:lpstr>place_name by place_category</vt:lpstr>
      <vt:lpstr>place_name by historical_theme</vt:lpstr>
      <vt:lpstr>APB Annual Reports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 Dale</dc:creator>
  <cp:lastModifiedBy>Kate Dale</cp:lastModifiedBy>
  <cp:lastPrinted>2026-04-05T01:36:58Z</cp:lastPrinted>
  <dcterms:created xsi:type="dcterms:W3CDTF">2024-10-11T01:00:45Z</dcterms:created>
  <dcterms:modified xsi:type="dcterms:W3CDTF">2026-05-29T02:03:19Z</dcterms:modified>
</cp:coreProperties>
</file>